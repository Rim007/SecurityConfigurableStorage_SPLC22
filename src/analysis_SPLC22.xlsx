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m\Documents\GitHub\SecurityConfigurableStorage_SPLC22\src\"/>
    </mc:Choice>
  </mc:AlternateContent>
  <bookViews>
    <workbookView xWindow="0" yWindow="0" windowWidth="33595" windowHeight="21006"/>
  </bookViews>
  <sheets>
    <sheet name="analysis" sheetId="1" r:id="rId1"/>
  </sheets>
  <definedNames>
    <definedName name="_xlnm._FilterDatabase" localSheetId="0" hidden="1">analysis!$A$1:$AF$50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1" i="1" l="1"/>
  <c r="AC67" i="1" l="1"/>
  <c r="AC66" i="1"/>
  <c r="AC65" i="1"/>
  <c r="K64" i="1" l="1"/>
  <c r="K63" i="1"/>
  <c r="K55" i="1"/>
  <c r="K56" i="1"/>
  <c r="K54" i="1"/>
  <c r="E58" i="1" l="1"/>
  <c r="E56" i="1"/>
  <c r="N64" i="1" l="1"/>
  <c r="N60" i="1"/>
  <c r="N58" i="1"/>
  <c r="N62" i="1"/>
  <c r="N65" i="1"/>
  <c r="N61" i="1"/>
  <c r="N57" i="1"/>
  <c r="N56" i="1"/>
  <c r="N54" i="1"/>
  <c r="AF61" i="1"/>
  <c r="AF60" i="1"/>
  <c r="AF59" i="1"/>
  <c r="AF56" i="1"/>
  <c r="AF55" i="1"/>
  <c r="AF54" i="1"/>
  <c r="AC74" i="1"/>
  <c r="AC73" i="1"/>
  <c r="AC72" i="1"/>
  <c r="AC71" i="1"/>
  <c r="AC70" i="1"/>
  <c r="AC55" i="1"/>
  <c r="AC54" i="1"/>
  <c r="AC61" i="1"/>
  <c r="AC60" i="1"/>
  <c r="AC59" i="1"/>
  <c r="AC56" i="1"/>
  <c r="AC64" i="1"/>
  <c r="AC63" i="1"/>
  <c r="AC62" i="1"/>
  <c r="Z69" i="1"/>
  <c r="Z68" i="1"/>
  <c r="Z67" i="1"/>
  <c r="Z66" i="1"/>
  <c r="Z65" i="1"/>
  <c r="Z61" i="1"/>
  <c r="Z60" i="1"/>
  <c r="Z59" i="1"/>
  <c r="Z58" i="1"/>
  <c r="Z57" i="1"/>
  <c r="Z56" i="1"/>
  <c r="Z55" i="1"/>
  <c r="Z54" i="1"/>
  <c r="W74" i="1"/>
  <c r="W73" i="1"/>
  <c r="W72" i="1"/>
  <c r="W71" i="1"/>
  <c r="W70" i="1"/>
  <c r="W69" i="1"/>
  <c r="W68" i="1"/>
  <c r="W67" i="1"/>
  <c r="W66" i="1"/>
  <c r="W65" i="1"/>
  <c r="W64" i="1"/>
  <c r="W63" i="1"/>
  <c r="W59" i="1"/>
  <c r="W58" i="1"/>
  <c r="W57" i="1"/>
  <c r="W56" i="1"/>
  <c r="W55" i="1"/>
  <c r="W54" i="1"/>
  <c r="T66" i="1"/>
  <c r="T65" i="1"/>
  <c r="T64" i="1"/>
  <c r="T61" i="1"/>
  <c r="T60" i="1"/>
  <c r="T59" i="1"/>
  <c r="T56" i="1"/>
  <c r="T55" i="1"/>
  <c r="T54" i="1"/>
  <c r="Q66" i="1"/>
  <c r="Q65" i="1"/>
  <c r="Q64" i="1"/>
  <c r="Q61" i="1"/>
  <c r="Q60" i="1"/>
  <c r="Q59" i="1"/>
  <c r="Q56" i="1"/>
  <c r="Q55" i="1"/>
  <c r="Q54" i="1"/>
  <c r="N70" i="1"/>
  <c r="N69" i="1"/>
  <c r="N68" i="1"/>
  <c r="K65" i="1"/>
  <c r="K62" i="1"/>
  <c r="K59" i="1"/>
  <c r="K58" i="1"/>
  <c r="K57" i="1"/>
  <c r="H71" i="1"/>
  <c r="H70" i="1"/>
  <c r="H69" i="1"/>
  <c r="H66" i="1"/>
  <c r="H65" i="1"/>
  <c r="H64" i="1"/>
  <c r="H60" i="1"/>
  <c r="H59" i="1"/>
  <c r="H56" i="1"/>
  <c r="H55" i="1"/>
  <c r="H54" i="1"/>
  <c r="E60" i="1"/>
  <c r="E59" i="1"/>
  <c r="E57" i="1"/>
  <c r="E55" i="1"/>
  <c r="E54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<sst xmlns="http://schemas.openxmlformats.org/spreadsheetml/2006/main" count="1683" uniqueCount="400">
  <si>
    <t>title</t>
  </si>
  <si>
    <t>year</t>
  </si>
  <si>
    <t>authors</t>
  </si>
  <si>
    <t>Evolving multi-Tenant saas cloud applications using model-driven engineering</t>
  </si>
  <si>
    <t>Jumagaliyev, A. and Whittle, J. and Elkhatib, Y.</t>
  </si>
  <si>
    <t>Using dynamic adaptive systems in safety-critical domains</t>
  </si>
  <si>
    <t>McGee, E.T. and McGregor, J.D.</t>
  </si>
  <si>
    <t>Green software development and research with the HADAS toolkit</t>
  </si>
  <si>
    <t>Munoz, D.-J. and Pinto, M. and Fuentes, L.</t>
  </si>
  <si>
    <t>CARMEN: A framework for the verification and diagnosis of the specification of security requirements in cyber-physical systems</t>
  </si>
  <si>
    <t>Varela-Vaca, Ã.J. and Rosado, D.G. and SÃ¡nchez, L.E. and GÃ³mez-LÃ³pez, M.T. and Gasca, R.M. and FernÃ¡ndez-Medina, E.</t>
  </si>
  <si>
    <t>Patterns for security and privacy in cloud ecosystems</t>
  </si>
  <si>
    <t>E. B. Fernandez and N. Yoshioka and H. Washizaki</t>
  </si>
  <si>
    <t>Cloud Ecosystems Support for Internet of Things and DevOps Using Patterns</t>
  </si>
  <si>
    <t>M. H. Syed and E. B. Fernandez</t>
  </si>
  <si>
    <t>Automated Testing of Software-as-a-Service Configurations Using a           Variability Language</t>
  </si>
  <si>
    <t>Patel, Sachin and Shah, Vipul</t>
  </si>
  <si>
    <t>Efficient Customization of Multi-Tenant Software-as-a-Service Applications           with Service Lines</t>
  </si>
  <si>
    <t>Walraven, Stefan and Van Landuyt, Dimitri and Truyen, Eddy and Handekyn, Koen and Joosen, Wouter</t>
  </si>
  <si>
    <t>Architecting Cloud Tools Using Software Product Line Techniques: An           Exploratory Study</t>
  </si>
  <si>
    <t>Tizzei, Leonardo P and Azevedo, Leonardo G and de Bayser, Maximilien and Cerqueira, Renato F G</t>
  </si>
  <si>
    <t>An SOA Approach for Automating Software Product Line Adoption</t>
  </si>
  <si>
    <t>Parra, Carlos and Joya, Diego and Giral, Leonardo and Infante, Alvaro</t>
  </si>
  <si>
    <t>A Requirements Elicitation Approach for Cloud Based Software Product Line           ERPs</t>
  </si>
  <si>
    <t>Ali, Mohamed and Nasr, Eman S and Gheith, Mervat H</t>
  </si>
  <si>
    <t>A Software Process Line for Service-Oriented Applications</t>
  </si>
  <si>
    <t>Garcia, Cleiton and Paludo, Marco and Malucelli, Andreia and Reinehr, Sheila</t>
  </si>
  <si>
    <t>Constraints for the Design of Variability-Intensive Service-Oriented           Reference Architectures - An Industrial Case Study</t>
  </si>
  <si>
    <t>Galster, Matthias and Avgeriou, Paris and Tofan, Dan</t>
  </si>
  <si>
    <t>Reconfigurable Service-Based Architecture Based on Variability Description</t>
  </si>
  <si>
    <t>Adjoyan, Seza and Seriai, Abdelhak-Djamel</t>
  </si>
  <si>
    <t>MobiLine: A Nested Software Product Line for the Domain of Mobile and           Context-Aware Applications</t>
  </si>
  <si>
    <t>Marinho, Fabiana G and Andrade, Rossana M C and Werner, ClÃ¡udia and Viana, Windson and Maia, Marcio E F and Rocha, Lincoln S and Teixeira, EldÃ­nae and Filho, JoÃ£o B Ferreira and Dantas, ValÃ©ria L L and Lima, FabrÃ­cio and Aguiar, Saulo</t>
  </si>
  <si>
    <t>Variability Management Meets Microservices: Six Challenges of           Re-Engineering Microservice-Based Webshops</t>
  </si>
  <si>
    <t>AssunÃ§Ã£o, Wesley K G and KrÃ¼ger, Jacob and MendonÃ§a, Willian D F</t>
  </si>
  <si>
    <t>Feature-Based Application Development and Management of Multi-Tenant           Applications in Clouds</t>
  </si>
  <si>
    <t>Moens, Hendrik and De Turck, Filip</t>
  </si>
  <si>
    <t>Towards Secure Dynamic Product Lines in the Cloud</t>
  </si>
  <si>
    <t>Krieter, Sebastian and KrÃ¼ger, Jacob and Weichbrodt, Nico and Sartakov, Vasily A and Kapitza, RÃ¼diger and Leich, Thomas</t>
  </si>
  <si>
    <t>Policy-Driven Middleware for Multi-Tenant SaaS Services Configuration</t>
  </si>
  <si>
    <t>Aouzal, Khadija and Hafiddi, Hatim and Dahchour, Mohamed</t>
  </si>
  <si>
    <t>Cost-Effective Feature Placement of Customizable Multi-Tenant Applications           in the Cloud</t>
  </si>
  <si>
    <t>Moens, Hendrik and Truyen, Eddy and Walraven, Stefan and Joosen, Wouter and Dhoedt, Bart and De Turck, Filip</t>
  </si>
  <si>
    <t>Feature-Based Variability Management for Scalable Enterprise Applications:           Experiences with an E-Payment Case</t>
  </si>
  <si>
    <t>Preuveneers, Davy and Heyman, Thomas and Berbers, Yolande and Joosen, Wouter</t>
  </si>
  <si>
    <t>COPE: Vision for a Change-Oriented Programming Environment</t>
  </si>
  <si>
    <t>Dig, Danny and Johnson, Ralph and Marinov, Darko and Bailey, Brian and Batory, Don</t>
  </si>
  <si>
    <t>A Complexity Tale: Web Configurators</t>
  </si>
  <si>
    <t>Perrouin, Gilles and Acher, Mathieu and Davril, Jean-Marc and Legay, Axel and Heymans, Patrick</t>
  </si>
  <si>
    <t>Dimensions of Software Configuration: On the Configuration Context in           Modern Software Development</t>
  </si>
  <si>
    <t>Siegmund, Norbert and Ruckel, Nicolai and Siegmund, Janet</t>
  </si>
  <si>
    <t>Systematic Scalability Assessment for Feature Oriented Multi-Tenant           Services</t>
  </si>
  <si>
    <t>Allocating Resources for Customizable Multi-Tenant Applications in Clouds           Using Dynamic Feature Placement</t>
  </si>
  <si>
    <t>Using Dynamic Software Product Lines to Implement Adaptive SGX-Enabled           Systems</t>
  </si>
  <si>
    <t>Krieter, Sebastian and Thiem, Tobias and Leich, Thomas</t>
  </si>
  <si>
    <t>Extending Dynamic Software Product Lines with Temporal Constraints</t>
  </si>
  <si>
    <t>Sousa, Gustavo and Rudametkin, Walter and Duchien, Laurence</t>
  </si>
  <si>
    <t>Fault Tolerant Software Systems Using Software Configurations for Cloud           Computing</t>
  </si>
  <si>
    <t>Chinnaiah, Mylara Reddy and Niranjan, Nalini</t>
  </si>
  <si>
    <t>An Evolutionary Study of Configuration Design and Implementation in Cloud           Systems</t>
  </si>
  <si>
    <t>Zhang, Yuanliang and He, Haochen and Legunsen, Owolabi and Li, Shanshan and Dong, Wei and Xu, Tianyin</t>
  </si>
  <si>
    <t>SPL &gt; Security</t>
  </si>
  <si>
    <t>Security &gt; SPL</t>
  </si>
  <si>
    <t>Domain</t>
  </si>
  <si>
    <t>Standard</t>
  </si>
  <si>
    <t>Projection (problem space, solution space, mapping)</t>
  </si>
  <si>
    <t>Verification (product-, family-, feature-based)</t>
  </si>
  <si>
    <t>Evolution</t>
  </si>
  <si>
    <t>Tool support</t>
  </si>
  <si>
    <t>Confidentiality</t>
  </si>
  <si>
    <t>Integrity</t>
  </si>
  <si>
    <t>Availability</t>
  </si>
  <si>
    <t>Authorization</t>
  </si>
  <si>
    <t>Accountability</t>
  </si>
  <si>
    <t>Storage type</t>
  </si>
  <si>
    <t>Source</t>
  </si>
  <si>
    <t>x</t>
  </si>
  <si>
    <t>Moens</t>
  </si>
  <si>
    <t>SPL &gt; storage</t>
  </si>
  <si>
    <t xml:space="preserve">Baresi </t>
  </si>
  <si>
    <t>Dynamically Evolving the Structural Variability of Dynamic Software Product Lines</t>
  </si>
  <si>
    <t>Molzam</t>
  </si>
  <si>
    <t>Learning and Evolution in Dynamic Software Product</t>
  </si>
  <si>
    <t>Ontology-Based Security Tool for Critical Cyber-Physica</t>
  </si>
  <si>
    <t>Shabaan</t>
  </si>
  <si>
    <t>Exploring Variability-Aware Execution for Testing Plugin-Based Web           Applications</t>
  </si>
  <si>
    <t>Variational Databases</t>
  </si>
  <si>
    <t>Ataei, Parisa and Termehchy, Arash and Walkingshaw, Eric</t>
  </si>
  <si>
    <t>Goal-Oriented Modeling and Verification of Feature-Oriented Product Lines</t>
  </si>
  <si>
    <t>Asadi, Mohsen and GrÃ¶ner, Gerd and Mohabbati, Bardia and GaÅ¡eviÄ‡, Dragan</t>
  </si>
  <si>
    <t>Coevolution of Variability Models and Related Software Artifacts</t>
  </si>
  <si>
    <t>Passos, Leonardo and Teixeira, Leopoldo and Dintzner, Nicolas and Apel, Sven and WÄ…sowski, Andrzej and Czarnecki, Krzysztof and Borba, Paulo and Guo, Jianmei</t>
  </si>
  <si>
    <t>A Reusable Software Architecture for Geographic Information Systems Based           on Software Product Line Engineering</t>
  </si>
  <si>
    <t>Brisaboa, Nieves R and CortiÃ±as, Alejandro and Luaces, Miguel R and Pol'La, Matias</t>
  </si>
  <si>
    <t>Evolving a Software Products Line for E-Commerce Systems: A Case Study</t>
  </si>
  <si>
    <t>Azzolini, Raphael P and Rubira, CecÃ­lia M F and Tizzei, Leonardo P and Gaia, Felipe N and Montecchi, Leonardo</t>
  </si>
  <si>
    <t>Metzger, Andreas and Bayer, Andreas and Doyle, Daniel and Sharifloo, Amir Molzam and Pohl, Klaus and Wessling, Florian</t>
  </si>
  <si>
    <t>Coordinated Run-Time Adaptation of Variability-Intensive Systems: An           Application in Cloud Computing</t>
  </si>
  <si>
    <t>A Software Product Line Approach for Configuring Cloud Robotics Applications</t>
  </si>
  <si>
    <t>L. Gherardi and D. Hunziker and G. Mohanarajah</t>
  </si>
  <si>
    <t>Adapting Software Factory Approach into Cloud ERP Production Model</t>
  </si>
  <si>
    <t>Jalil</t>
  </si>
  <si>
    <t>Dealing with configurability in robot systems</t>
  </si>
  <si>
    <t>Heikkilä</t>
  </si>
  <si>
    <t>Variability focus</t>
  </si>
  <si>
    <t>Alférez</t>
  </si>
  <si>
    <t>Achieving Autonomic Web Service Compositions with</t>
  </si>
  <si>
    <t>Benlachgar</t>
  </si>
  <si>
    <t>Review of Software Product Line Models Used to Model Cloud applications</t>
  </si>
  <si>
    <t>Butting</t>
  </si>
  <si>
    <t>Controlled and Extensible Variability of Concrete and Abstract Syntax with Independent Language Features</t>
  </si>
  <si>
    <t>Gey</t>
  </si>
  <si>
    <t>Feature Models at Run Time  Feature Middleware for Multi-tenant SaaS Applications</t>
  </si>
  <si>
    <t>Autonomic Provisioning  Configuration and Management of Inter-Cloud Environments based on a Software Product Line Engineering Method</t>
  </si>
  <si>
    <t>Leite</t>
  </si>
  <si>
    <t>Dohko: an autonomic system for provision configuration and management of inter-cloud environments based on a software product line engineering method</t>
  </si>
  <si>
    <t>Towards Software Product Lines Based Cloud Architectures</t>
  </si>
  <si>
    <t>Matar</t>
  </si>
  <si>
    <t>An Integrated Platform for Dynamic Adaptation of Multi-Tenant Single Instance SaaS Applications</t>
  </si>
  <si>
    <t>Variability Middleware for Multi-tenant SaaS Applications</t>
  </si>
  <si>
    <t>Dimitri Van Landuyt, Stefan Walraven,  Wouter Joosen</t>
  </si>
  <si>
    <t>("software as a service" OR "SaaS" OR "infrastructure as a service" OR "IaaS" OR "service-based" OR "service-oriented" OR "on-demand" OR "stor*" OR "cloud" OR "database" OR "warehouse" OR "blockchain" OR "edge" OR "fog") AND ("software product line" OR "SPL" OR "product famil*" OR "system famil*" OR “software famil*” OR "variant*rich" OR "config* system") AND ("security" OR "secure")</t>
  </si>
  <si>
    <t>String</t>
  </si>
  <si>
    <t>Organization structure</t>
  </si>
  <si>
    <t>Stored data type</t>
  </si>
  <si>
    <t>Supporting Distributed Product Con_x000C_guration by Integrating Heterogeneous Variability Modeling Approaches</t>
  </si>
  <si>
    <t>Non-repudiation</t>
  </si>
  <si>
    <t>Specification</t>
  </si>
  <si>
    <t>Security threats</t>
  </si>
  <si>
    <t>Storage &gt; SPL</t>
  </si>
  <si>
    <t>no SPL</t>
  </si>
  <si>
    <t>-</t>
  </si>
  <si>
    <t>given but not specified</t>
  </si>
  <si>
    <t>+</t>
  </si>
  <si>
    <t>given and specified</t>
  </si>
  <si>
    <t>not given</t>
  </si>
  <si>
    <t>centralized</t>
  </si>
  <si>
    <t>security goal</t>
  </si>
  <si>
    <t>software, storage</t>
  </si>
  <si>
    <t>database</t>
  </si>
  <si>
    <t>Configuration generator, Verifier.</t>
  </si>
  <si>
    <r>
      <rPr>
        <b/>
        <sz val="11"/>
        <color theme="1"/>
        <rFont val="Calibri"/>
        <family val="2"/>
        <scheme val="minor"/>
      </rPr>
      <t>evolution:</t>
    </r>
    <r>
      <rPr>
        <sz val="11"/>
        <color theme="1"/>
        <rFont val="Calibri"/>
        <family val="2"/>
        <scheme val="minor"/>
      </rPr>
      <t xml:space="preserve"> dynamic evolution of service compositions to deal with unexpected events in the open world</t>
    </r>
  </si>
  <si>
    <t>context (state) data</t>
  </si>
  <si>
    <t>system</t>
  </si>
  <si>
    <t>non-functional requirement</t>
  </si>
  <si>
    <t>software</t>
  </si>
  <si>
    <t>cloud</t>
  </si>
  <si>
    <t>DOPLER</t>
  </si>
  <si>
    <t>ERP/retail data</t>
  </si>
  <si>
    <t>system, external users</t>
  </si>
  <si>
    <t xml:space="preserve">Data access </t>
  </si>
  <si>
    <t>retail</t>
  </si>
  <si>
    <t>ERP System on cloud to increase sales</t>
  </si>
  <si>
    <t>cloud, SaaS</t>
  </si>
  <si>
    <t>encryption, isolation</t>
  </si>
  <si>
    <t>unspecified data</t>
  </si>
  <si>
    <t>authenticitation, data privacy, information hiding, uniformity</t>
  </si>
  <si>
    <t>unspecificed SPL</t>
  </si>
  <si>
    <t>storage</t>
  </si>
  <si>
    <t>problem-space</t>
  </si>
  <si>
    <t>(FeatureIDE as example)</t>
  </si>
  <si>
    <t>webshop data</t>
  </si>
  <si>
    <t>centralized, decentralized</t>
  </si>
  <si>
    <t>system, user</t>
  </si>
  <si>
    <t>access</t>
  </si>
  <si>
    <t>solution-space</t>
  </si>
  <si>
    <t>ACFAM methodology</t>
  </si>
  <si>
    <t>evolution with 4 releases</t>
  </si>
  <si>
    <t>e-commerce data</t>
  </si>
  <si>
    <t>variants, feature model, checker software</t>
  </si>
  <si>
    <t>problem-space, mapping, solution-space</t>
  </si>
  <si>
    <t>dynamic evolution process, evolution at runtime</t>
  </si>
  <si>
    <t>encryption, signature</t>
  </si>
  <si>
    <t>high level of security</t>
  </si>
  <si>
    <t>Tourism</t>
  </si>
  <si>
    <t>Spring Security, access control</t>
  </si>
  <si>
    <t>geographic data</t>
  </si>
  <si>
    <t>encryption</t>
  </si>
  <si>
    <t>feature model</t>
  </si>
  <si>
    <t>variant manipulation, bugs</t>
  </si>
  <si>
    <t>sequential code</t>
  </si>
  <si>
    <t>shared access instance, privacy</t>
  </si>
  <si>
    <t>non-functional requirements</t>
  </si>
  <si>
    <t>access control</t>
  </si>
  <si>
    <t>access, privacy, secure hardware</t>
  </si>
  <si>
    <t>mobile web platform as configuration service</t>
  </si>
  <si>
    <t>access, privacy, variability</t>
  </si>
  <si>
    <t>ISO 27000, HIPAA, NIST Cloud Computing Security Reference Architecture</t>
  </si>
  <si>
    <t>Cloud Access Security Broker (CASB): A pattern for secure access to cloud services</t>
  </si>
  <si>
    <t>E. B. Fernandez and B. Hamid</t>
  </si>
  <si>
    <t>A pattern for network functions virtualization</t>
  </si>
  <si>
    <t>ecosystem as expansion of SPL architecture, concrete security patterns</t>
  </si>
  <si>
    <t>SAML</t>
  </si>
  <si>
    <t>security goals</t>
  </si>
  <si>
    <t xml:space="preserve"> access control</t>
  </si>
  <si>
    <t>access, data manipulation, data theft, malware</t>
  </si>
  <si>
    <t>mapping, solution-space</t>
  </si>
  <si>
    <t xml:space="preserve"> access control, encryption</t>
  </si>
  <si>
    <t>authentication, authorization</t>
  </si>
  <si>
    <t>security pattern for network function virtualization in ecosystem</t>
  </si>
  <si>
    <t>pattern for secure access in cloud ecosystem</t>
  </si>
  <si>
    <t>ISO 27001</t>
  </si>
  <si>
    <t>event logs</t>
  </si>
  <si>
    <t>privacy</t>
  </si>
  <si>
    <t>quality attribute</t>
  </si>
  <si>
    <t>citizen data</t>
  </si>
  <si>
    <t>access, privacy</t>
  </si>
  <si>
    <t>cloud, database</t>
  </si>
  <si>
    <t>robotics in cloud</t>
  </si>
  <si>
    <t>source code, features</t>
  </si>
  <si>
    <t>HyperFlex Toolchain</t>
  </si>
  <si>
    <t>Robotics</t>
  </si>
  <si>
    <t>Production</t>
  </si>
  <si>
    <t>data exchange</t>
  </si>
  <si>
    <t>OPC Unified Architecture</t>
  </si>
  <si>
    <t>access control, security layer</t>
  </si>
  <si>
    <t>ERP model</t>
  </si>
  <si>
    <t>product-based</t>
  </si>
  <si>
    <t>ERP Production Model in Cloud based on SPL</t>
  </si>
  <si>
    <t>variability, bugs</t>
  </si>
  <si>
    <t>code, variants</t>
  </si>
  <si>
    <t>UML, MATA</t>
  </si>
  <si>
    <t>multi-tenant SaaS cloud application</t>
  </si>
  <si>
    <t>cloud, database, SaaS</t>
  </si>
  <si>
    <t>concept</t>
  </si>
  <si>
    <t>code</t>
  </si>
  <si>
    <t>trustworthiness, privacy, variability</t>
  </si>
  <si>
    <t>Bit Extractor</t>
  </si>
  <si>
    <t>implementation</t>
  </si>
  <si>
    <t>Intel SGX enclaves, encryption, isolation</t>
  </si>
  <si>
    <t>system goal</t>
  </si>
  <si>
    <t>access control, encryption, SSH</t>
  </si>
  <si>
    <t>further development</t>
  </si>
  <si>
    <t>Ressource management</t>
  </si>
  <si>
    <t>context data, code</t>
  </si>
  <si>
    <t>Odyssey-FEX Notation</t>
  </si>
  <si>
    <t xml:space="preserve">SaaS evolution </t>
  </si>
  <si>
    <t>code, feature model</t>
  </si>
  <si>
    <t>UML</t>
  </si>
  <si>
    <t>safety-critical system</t>
  </si>
  <si>
    <t>feature models</t>
  </si>
  <si>
    <t>UML, own language</t>
  </si>
  <si>
    <t>instance control</t>
  </si>
  <si>
    <t>code, features</t>
  </si>
  <si>
    <t>system requirement</t>
  </si>
  <si>
    <t>communication</t>
  </si>
  <si>
    <t>cost-effective</t>
  </si>
  <si>
    <t>system feature</t>
  </si>
  <si>
    <t>separated databases per tenant</t>
  </si>
  <si>
    <t>user data</t>
  </si>
  <si>
    <t>Survey tool</t>
  </si>
  <si>
    <t>security API, plugin</t>
  </si>
  <si>
    <t>HADAS toolkit for green devoloping</t>
  </si>
  <si>
    <t>variability model, configuration metrics</t>
  </si>
  <si>
    <t>HADAS toolkit</t>
  </si>
  <si>
    <t>family-based</t>
  </si>
  <si>
    <t>technical evaluation</t>
  </si>
  <si>
    <t>plugins</t>
  </si>
  <si>
    <t>Nguyen, Hung Viet and Kästner, Christian and Nguyen, Tien N</t>
  </si>
  <si>
    <t>parallel variant execution, access control, isolation</t>
  </si>
  <si>
    <t>access control, Linux security models</t>
  </si>
  <si>
    <t>problem-space, mapping</t>
  </si>
  <si>
    <t>Linux-based systems</t>
  </si>
  <si>
    <t>access, maintenance, variability</t>
  </si>
  <si>
    <t>Web Configurator</t>
  </si>
  <si>
    <t>Payment</t>
  </si>
  <si>
    <t>PCI DSS, PA DSS</t>
  </si>
  <si>
    <t>isolation, access control, security token, SSL, TLS, encryption</t>
  </si>
  <si>
    <t>variability model</t>
  </si>
  <si>
    <t>oriented towards payment standards</t>
  </si>
  <si>
    <t>mapping</t>
  </si>
  <si>
    <t>isolation, access control, security token, SSL, TLS, encryption, signature</t>
  </si>
  <si>
    <t>IEC 62443-4-2, IEC 62443, IEEE 1686</t>
  </si>
  <si>
    <t>industrial data</t>
  </si>
  <si>
    <t xml:space="preserve">system vulnerabilities, communication, </t>
  </si>
  <si>
    <t>detection of security risks in CPS</t>
  </si>
  <si>
    <t>firewall</t>
  </si>
  <si>
    <t>no application, survey</t>
  </si>
  <si>
    <t>E.B. Fernandez, Security patterns in practice: Building secure architectures using software patterns, Wiley, May 2013.</t>
  </si>
  <si>
    <t>ecosystem, known threats to the cloud</t>
  </si>
  <si>
    <t>access, variability</t>
  </si>
  <si>
    <t>distributed</t>
  </si>
  <si>
    <t>fog, database, SaaS</t>
  </si>
  <si>
    <t>application data, meta data</t>
  </si>
  <si>
    <t>firewall, access control, misuse pattern</t>
  </si>
  <si>
    <t>variability</t>
  </si>
  <si>
    <t>ETSI EN 303 645, ISO/IEC 30141:2018, ISO/IEC CD 27402.2, SO/IEC DIS 27400 …..</t>
  </si>
  <si>
    <t>MORE security goals/properties</t>
  </si>
  <si>
    <t>application data</t>
  </si>
  <si>
    <t>variability, privacy, trust</t>
  </si>
  <si>
    <t>encryption, access control, AES, SLL, protocols</t>
  </si>
  <si>
    <t>isolation, encryption</t>
  </si>
  <si>
    <t>FeatureIDE</t>
  </si>
  <si>
    <t>service-line engineering</t>
  </si>
  <si>
    <t>user data, meta-data</t>
  </si>
  <si>
    <t>commit analysis</t>
  </si>
  <si>
    <t>STANDARDS!</t>
  </si>
  <si>
    <t>CyberSPL: A Framework for the Verification of Cybersecurity Policy Compliance of System Configurations Using Software Product Line</t>
  </si>
  <si>
    <t>Ángel Jesús Varela-Vaca, Rafael M. Gasca, Rafael Ceballo, María Teresa Gómez-López, and Pedro Bernáldez Torres</t>
  </si>
  <si>
    <t>Definition and Verification of Security Configurations of Cyber-Physical Systems</t>
  </si>
  <si>
    <t>Angel Jesús Varela-Vaca, David G. Rosado, Luis Enrique Sánchez, María Teresa Gómez-López, Rafael M. Gasca, and Eduardo Fernandez-Medina</t>
  </si>
  <si>
    <t>Cyber-Physical Systems Product Lines: Variability Analysis and Challenges</t>
  </si>
  <si>
    <t>Aitor Arrieta, Goiuria Sagardui, Leire Etxeberria</t>
  </si>
  <si>
    <t>Constraint-based Multi-tenant SaaS Deployment Using Feature Modeling and XML Filtering Techniques</t>
  </si>
  <si>
    <t>Yang Cao, Chung-Horng Lung, Samuel Ajila</t>
  </si>
  <si>
    <t>Fatma Mohamed, Rabeb Mizouni, Mohammed Abu-Matar, Mahmoud Al-Qutayri, Jon Whittle</t>
  </si>
  <si>
    <t>general business</t>
  </si>
  <si>
    <t>model-based variable security framework</t>
  </si>
  <si>
    <t>CyberSPL</t>
  </si>
  <si>
    <t>SPL tools!</t>
  </si>
  <si>
    <t>application data (sensor data)</t>
  </si>
  <si>
    <t>FaMa, CyberSPL (analysis)</t>
  </si>
  <si>
    <t>encryption, SSL, TSL, security pattern, access control</t>
  </si>
  <si>
    <t>encryption (HTTPS), access control, security protocols (SSL, TLS)</t>
  </si>
  <si>
    <t>communication, access, privacy</t>
  </si>
  <si>
    <t>security AND privacy</t>
  </si>
  <si>
    <t>security as challenge</t>
  </si>
  <si>
    <t>system challenge</t>
  </si>
  <si>
    <t>Xfeature (XML)</t>
  </si>
  <si>
    <t>configuration data (feature model)</t>
  </si>
  <si>
    <t>pure::variants</t>
  </si>
  <si>
    <t>Retail</t>
  </si>
  <si>
    <t>Medical Systems</t>
  </si>
  <si>
    <t>Plugin-based systems</t>
  </si>
  <si>
    <t>Geographic system</t>
  </si>
  <si>
    <t>Business Management</t>
  </si>
  <si>
    <t>Energy management systems</t>
  </si>
  <si>
    <t>Other (Mobile devices)</t>
  </si>
  <si>
    <t>Administration and Management (eGovernment)</t>
  </si>
  <si>
    <t>Private/Consumer Software</t>
  </si>
  <si>
    <t>Domain Specific</t>
  </si>
  <si>
    <t>Administration and Management</t>
  </si>
  <si>
    <t>Other</t>
  </si>
  <si>
    <t>Webapplications</t>
  </si>
  <si>
    <t>Year</t>
  </si>
  <si>
    <t>SPL &gt; Storage</t>
  </si>
  <si>
    <t>Cloud</t>
  </si>
  <si>
    <t>Database</t>
  </si>
  <si>
    <t>Cloud, database</t>
  </si>
  <si>
    <t>SaaS</t>
  </si>
  <si>
    <t>Cloud, database, Saas</t>
  </si>
  <si>
    <t>fog, database</t>
  </si>
  <si>
    <t>decentralized</t>
  </si>
  <si>
    <t>Data access</t>
  </si>
  <si>
    <t>user</t>
  </si>
  <si>
    <t>yes</t>
  </si>
  <si>
    <t>no</t>
  </si>
  <si>
    <t>Non-functional requirements</t>
  </si>
  <si>
    <t>security goals (reliability issue)</t>
  </si>
  <si>
    <t>assigned</t>
  </si>
  <si>
    <t>data access</t>
  </si>
  <si>
    <t>hardware</t>
  </si>
  <si>
    <t>manipulation</t>
  </si>
  <si>
    <t>data theft</t>
  </si>
  <si>
    <t>malware</t>
  </si>
  <si>
    <t>bugs</t>
  </si>
  <si>
    <t>maintenance</t>
  </si>
  <si>
    <t>access, communication</t>
  </si>
  <si>
    <t>data theft, vulnerabilities, variability, access, privacy</t>
  </si>
  <si>
    <t>vulnerabilities,</t>
  </si>
  <si>
    <t>trust</t>
  </si>
  <si>
    <t>Stored data</t>
  </si>
  <si>
    <t>signature</t>
  </si>
  <si>
    <t>isolation</t>
  </si>
  <si>
    <t>parallel variant execution</t>
  </si>
  <si>
    <t>misuse pattern</t>
  </si>
  <si>
    <t>SSH</t>
  </si>
  <si>
    <t>security models</t>
  </si>
  <si>
    <t>TLS</t>
  </si>
  <si>
    <t>SSL</t>
  </si>
  <si>
    <t>Intel SGX</t>
  </si>
  <si>
    <t>certificates and protocols</t>
  </si>
  <si>
    <t>AES</t>
  </si>
  <si>
    <t>firewall, access control, misuse pattern, encryption</t>
  </si>
  <si>
    <t xml:space="preserve"> firewall, access control, encryption</t>
  </si>
  <si>
    <t>Projection</t>
  </si>
  <si>
    <t>Verification</t>
  </si>
  <si>
    <t>feature-based</t>
  </si>
  <si>
    <t>Own</t>
  </si>
  <si>
    <t>source code</t>
  </si>
  <si>
    <t>features</t>
  </si>
  <si>
    <t>updates/patches</t>
  </si>
  <si>
    <t>other models</t>
  </si>
  <si>
    <t>application and system data</t>
  </si>
  <si>
    <t>meta data</t>
  </si>
  <si>
    <t>variants</t>
  </si>
  <si>
    <t>feature, meta data, patches, code</t>
  </si>
  <si>
    <t>code, features, user data</t>
  </si>
  <si>
    <t>Variability Management in Infrastructure as a Service: Scenarios in Cloud Deployment Models</t>
  </si>
  <si>
    <t>Khan, Ateeq , Johannes Hintsch, Gunter Saake, and Klaus Turowski</t>
  </si>
  <si>
    <t>privacy, communication</t>
  </si>
  <si>
    <t>Puppet</t>
  </si>
  <si>
    <t>SaaS as IaaS</t>
  </si>
  <si>
    <t>NIST</t>
  </si>
  <si>
    <t>Mitigation techniques</t>
  </si>
  <si>
    <t>Jose A. Galindo, Deepak Dhungana, Rick Rabiser, David Benavides, Goetz Botterweck and Paul Grünbacher</t>
  </si>
  <si>
    <t>distributed, centralized</t>
  </si>
  <si>
    <t>distributed (centralized)</t>
  </si>
  <si>
    <t xml:space="preserve">distributed (centralized) </t>
  </si>
  <si>
    <t>database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</si>
</sst>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"/>
      <family val="2"/>
    </font>
    <font>
      <sz val="10"/>
      <color theme="1"/>
      <name val="Helvetic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ont="1" applyFill="1"/>
    <xf numFmtId="0" fontId="0" fillId="34" borderId="0" xfId="0" applyFill="1"/>
    <xf numFmtId="0" fontId="0" fillId="0" borderId="0" xfId="0" applyFill="1"/>
    <xf numFmtId="0" fontId="0" fillId="35" borderId="0" xfId="0" applyFill="1"/>
    <xf numFmtId="16" fontId="0" fillId="33" borderId="0" xfId="0" applyNumberFormat="1" applyFill="1"/>
    <xf numFmtId="0" fontId="0" fillId="36" borderId="0" xfId="0" applyFill="1"/>
    <xf numFmtId="0" fontId="6" fillId="36" borderId="0" xfId="6" applyFill="1"/>
    <xf numFmtId="0" fontId="18" fillId="0" borderId="0" xfId="0" applyFont="1"/>
    <xf numFmtId="0" fontId="19" fillId="0" borderId="0" xfId="0" applyFont="1"/>
    <xf numFmtId="0" fontId="0" fillId="37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3"/>
  <sheetViews>
    <sheetView tabSelected="1" zoomScaleNormal="100" workbookViewId="0">
      <pane ySplit="1" topLeftCell="A2" activePane="bottomLeft" state="frozen"/>
      <selection pane="bottomLeft" activeCell="H25" sqref="H25"/>
    </sheetView>
  </sheetViews>
  <sheetFormatPr baseColWidth="10" defaultRowHeight="14.85" x14ac:dyDescent="0.25"/>
  <cols>
    <col min="4" max="5" width="13" bestFit="1" customWidth="1"/>
    <col min="6" max="6" width="10.85546875" bestFit="1" customWidth="1"/>
    <col min="7" max="7" width="12.42578125" bestFit="1" customWidth="1"/>
    <col min="8" max="8" width="12.85546875" bestFit="1" customWidth="1"/>
    <col min="9" max="9" width="10.85546875" customWidth="1"/>
    <col min="10" max="10" width="15.28515625" bestFit="1" customWidth="1"/>
    <col min="12" max="12" width="11.140625" customWidth="1"/>
    <col min="14" max="14" width="10.7109375" bestFit="1" customWidth="1"/>
  </cols>
  <sheetData>
    <row r="1" spans="1:37" x14ac:dyDescent="0.25">
      <c r="A1" s="1" t="s">
        <v>75</v>
      </c>
      <c r="B1" s="1" t="s">
        <v>2</v>
      </c>
      <c r="C1" s="1" t="s">
        <v>0</v>
      </c>
      <c r="D1" s="1" t="s">
        <v>1</v>
      </c>
      <c r="E1" s="1" t="s">
        <v>63</v>
      </c>
      <c r="F1" s="1" t="s">
        <v>330</v>
      </c>
      <c r="G1" s="1" t="s">
        <v>61</v>
      </c>
      <c r="H1" s="1" t="s">
        <v>62</v>
      </c>
      <c r="I1" s="1" t="s">
        <v>78</v>
      </c>
      <c r="J1" s="1" t="s">
        <v>129</v>
      </c>
      <c r="K1" s="1" t="s">
        <v>74</v>
      </c>
      <c r="L1" s="1" t="s">
        <v>123</v>
      </c>
      <c r="M1" s="1" t="s">
        <v>124</v>
      </c>
      <c r="N1" s="1" t="s">
        <v>150</v>
      </c>
      <c r="O1" s="1" t="s">
        <v>64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126</v>
      </c>
      <c r="V1" s="1" t="s">
        <v>127</v>
      </c>
      <c r="W1" s="1" t="s">
        <v>128</v>
      </c>
      <c r="X1" s="1" t="s">
        <v>394</v>
      </c>
      <c r="Y1" s="1" t="s">
        <v>104</v>
      </c>
      <c r="Z1" s="1" t="s">
        <v>65</v>
      </c>
      <c r="AA1" s="1" t="s">
        <v>66</v>
      </c>
      <c r="AB1" s="1" t="s">
        <v>67</v>
      </c>
      <c r="AC1" s="1" t="s">
        <v>68</v>
      </c>
    </row>
    <row r="2" spans="1:37" x14ac:dyDescent="0.25">
      <c r="A2" t="s">
        <v>76</v>
      </c>
      <c r="B2" t="s">
        <v>107</v>
      </c>
      <c r="C2" t="s">
        <v>108</v>
      </c>
      <c r="D2">
        <v>2013</v>
      </c>
      <c r="E2" s="5" t="s">
        <v>332</v>
      </c>
      <c r="F2" s="5" t="s">
        <v>174</v>
      </c>
      <c r="G2" s="5" t="s">
        <v>131</v>
      </c>
      <c r="H2" s="5" t="s">
        <v>76</v>
      </c>
      <c r="I2" s="5" t="s">
        <v>76</v>
      </c>
      <c r="J2" s="5" t="s">
        <v>131</v>
      </c>
      <c r="K2" s="5" t="s">
        <v>153</v>
      </c>
      <c r="L2" s="6" t="s">
        <v>136</v>
      </c>
      <c r="M2" s="5" t="s">
        <v>131</v>
      </c>
      <c r="N2" t="s">
        <v>163</v>
      </c>
      <c r="O2" s="5" t="s">
        <v>131</v>
      </c>
      <c r="P2" s="5" t="s">
        <v>131</v>
      </c>
      <c r="Q2" s="5" t="s">
        <v>131</v>
      </c>
      <c r="R2" s="5" t="s">
        <v>131</v>
      </c>
      <c r="S2" s="5" t="s">
        <v>131</v>
      </c>
      <c r="T2" s="5" t="s">
        <v>131</v>
      </c>
      <c r="U2" s="5" t="s">
        <v>131</v>
      </c>
      <c r="V2" s="5" t="s">
        <v>144</v>
      </c>
      <c r="W2" s="5" t="s">
        <v>131</v>
      </c>
      <c r="X2" s="5" t="s">
        <v>172</v>
      </c>
      <c r="Y2" t="s">
        <v>138</v>
      </c>
      <c r="Z2" s="5" t="s">
        <v>165</v>
      </c>
      <c r="AA2" s="5" t="s">
        <v>131</v>
      </c>
      <c r="AB2" s="5" t="s">
        <v>131</v>
      </c>
      <c r="AC2" s="5" t="s">
        <v>131</v>
      </c>
      <c r="AD2" t="s">
        <v>173</v>
      </c>
    </row>
    <row r="3" spans="1:37" x14ac:dyDescent="0.25">
      <c r="A3" t="s">
        <v>76</v>
      </c>
      <c r="B3" t="s">
        <v>28</v>
      </c>
      <c r="C3" t="s">
        <v>27</v>
      </c>
      <c r="D3">
        <v>2013</v>
      </c>
      <c r="E3" t="s">
        <v>331</v>
      </c>
      <c r="F3" t="s">
        <v>328</v>
      </c>
      <c r="G3" s="5" t="s">
        <v>131</v>
      </c>
      <c r="H3" s="5" t="s">
        <v>76</v>
      </c>
      <c r="I3" s="5" t="s">
        <v>131</v>
      </c>
      <c r="J3" s="5" t="s">
        <v>76</v>
      </c>
      <c r="K3" s="5" t="s">
        <v>139</v>
      </c>
      <c r="L3" s="5" t="s">
        <v>396</v>
      </c>
      <c r="M3" s="5" t="s">
        <v>205</v>
      </c>
      <c r="N3" s="6" t="s">
        <v>163</v>
      </c>
      <c r="O3" t="s">
        <v>131</v>
      </c>
      <c r="P3" s="5" t="s">
        <v>133</v>
      </c>
      <c r="Q3" s="5" t="s">
        <v>131</v>
      </c>
      <c r="R3" s="5" t="s">
        <v>131</v>
      </c>
      <c r="S3" s="5" t="s">
        <v>131</v>
      </c>
      <c r="T3" s="5" t="s">
        <v>133</v>
      </c>
      <c r="U3" s="5" t="s">
        <v>131</v>
      </c>
      <c r="V3" s="5" t="s">
        <v>204</v>
      </c>
      <c r="W3" s="5" t="s">
        <v>203</v>
      </c>
      <c r="X3" s="5" t="s">
        <v>131</v>
      </c>
      <c r="Y3" s="5" t="s">
        <v>145</v>
      </c>
      <c r="Z3" s="5" t="s">
        <v>159</v>
      </c>
      <c r="AA3" s="5" t="s">
        <v>131</v>
      </c>
      <c r="AB3" s="5" t="s">
        <v>133</v>
      </c>
      <c r="AC3" s="5" t="s">
        <v>131</v>
      </c>
    </row>
    <row r="4" spans="1:37" x14ac:dyDescent="0.25">
      <c r="A4" t="s">
        <v>76</v>
      </c>
      <c r="B4" t="s">
        <v>32</v>
      </c>
      <c r="C4" t="s">
        <v>31</v>
      </c>
      <c r="D4">
        <v>2013</v>
      </c>
      <c r="E4" t="s">
        <v>332</v>
      </c>
      <c r="F4" t="s">
        <v>327</v>
      </c>
      <c r="G4" s="5" t="s">
        <v>131</v>
      </c>
      <c r="H4" s="5" t="s">
        <v>76</v>
      </c>
      <c r="I4" s="5" t="s">
        <v>131</v>
      </c>
      <c r="J4" s="5" t="s">
        <v>76</v>
      </c>
      <c r="K4" t="s">
        <v>207</v>
      </c>
      <c r="L4" s="5" t="s">
        <v>396</v>
      </c>
      <c r="M4" s="5" t="s">
        <v>234</v>
      </c>
      <c r="N4" s="5" t="s">
        <v>163</v>
      </c>
      <c r="O4" t="s">
        <v>131</v>
      </c>
      <c r="P4" s="5" t="s">
        <v>131</v>
      </c>
      <c r="Q4" t="s">
        <v>131</v>
      </c>
      <c r="R4" s="5" t="s">
        <v>76</v>
      </c>
      <c r="S4" s="5" t="s">
        <v>76</v>
      </c>
      <c r="T4" s="5" t="s">
        <v>131</v>
      </c>
      <c r="U4" s="5" t="s">
        <v>131</v>
      </c>
      <c r="V4" s="6" t="s">
        <v>230</v>
      </c>
      <c r="W4" s="5" t="s">
        <v>131</v>
      </c>
      <c r="X4" s="5" t="s">
        <v>131</v>
      </c>
      <c r="Y4" s="5" t="s">
        <v>145</v>
      </c>
      <c r="Z4" s="5" t="s">
        <v>165</v>
      </c>
      <c r="AA4" s="5" t="s">
        <v>131</v>
      </c>
      <c r="AB4" s="5" t="s">
        <v>76</v>
      </c>
      <c r="AC4" t="s">
        <v>235</v>
      </c>
      <c r="AD4" t="s">
        <v>131</v>
      </c>
    </row>
    <row r="5" spans="1:37" x14ac:dyDescent="0.25">
      <c r="A5" t="s">
        <v>76</v>
      </c>
      <c r="B5" t="s">
        <v>99</v>
      </c>
      <c r="C5" t="s">
        <v>98</v>
      </c>
      <c r="D5">
        <v>2014</v>
      </c>
      <c r="E5" t="s">
        <v>212</v>
      </c>
      <c r="F5" t="s">
        <v>212</v>
      </c>
      <c r="G5" s="5" t="s">
        <v>131</v>
      </c>
      <c r="H5" s="5" t="s">
        <v>76</v>
      </c>
      <c r="I5" s="5" t="s">
        <v>133</v>
      </c>
      <c r="J5" s="5" t="s">
        <v>133</v>
      </c>
      <c r="K5" s="5" t="s">
        <v>223</v>
      </c>
      <c r="L5" s="6" t="s">
        <v>136</v>
      </c>
      <c r="M5" s="5" t="s">
        <v>209</v>
      </c>
      <c r="N5" s="6" t="s">
        <v>143</v>
      </c>
      <c r="O5" t="s">
        <v>131</v>
      </c>
      <c r="P5" s="5" t="s">
        <v>131</v>
      </c>
      <c r="Q5" s="5" t="s">
        <v>131</v>
      </c>
      <c r="R5" s="5" t="s">
        <v>133</v>
      </c>
      <c r="S5" s="5" t="s">
        <v>133</v>
      </c>
      <c r="T5" s="5" t="s">
        <v>131</v>
      </c>
      <c r="U5" s="5" t="s">
        <v>131</v>
      </c>
      <c r="V5" s="6" t="s">
        <v>230</v>
      </c>
      <c r="W5" s="5" t="s">
        <v>206</v>
      </c>
      <c r="X5" t="s">
        <v>194</v>
      </c>
      <c r="Y5" s="5" t="s">
        <v>145</v>
      </c>
      <c r="Z5" t="s">
        <v>196</v>
      </c>
      <c r="AA5" s="5" t="s">
        <v>131</v>
      </c>
      <c r="AB5" s="5" t="s">
        <v>131</v>
      </c>
      <c r="AC5" s="5" t="s">
        <v>210</v>
      </c>
      <c r="AD5" s="5" t="s">
        <v>208</v>
      </c>
    </row>
    <row r="6" spans="1:37" x14ac:dyDescent="0.25">
      <c r="A6" t="s">
        <v>76</v>
      </c>
      <c r="B6" t="s">
        <v>117</v>
      </c>
      <c r="C6" t="s">
        <v>116</v>
      </c>
      <c r="D6">
        <v>2014</v>
      </c>
      <c r="E6" t="s">
        <v>321</v>
      </c>
      <c r="F6" t="s">
        <v>321</v>
      </c>
      <c r="G6" s="5" t="s">
        <v>131</v>
      </c>
      <c r="H6" s="5" t="s">
        <v>76</v>
      </c>
      <c r="I6" s="5" t="s">
        <v>76</v>
      </c>
      <c r="J6" s="5" t="s">
        <v>131</v>
      </c>
      <c r="K6" t="s">
        <v>223</v>
      </c>
      <c r="L6" s="6" t="s">
        <v>136</v>
      </c>
      <c r="M6" s="5" t="s">
        <v>237</v>
      </c>
      <c r="N6" s="5" t="s">
        <v>163</v>
      </c>
      <c r="O6" t="s">
        <v>131</v>
      </c>
      <c r="P6" s="5" t="s">
        <v>131</v>
      </c>
      <c r="Q6" t="s">
        <v>131</v>
      </c>
      <c r="R6" s="5" t="s">
        <v>133</v>
      </c>
      <c r="S6" s="5" t="s">
        <v>131</v>
      </c>
      <c r="T6" s="5" t="s">
        <v>131</v>
      </c>
      <c r="U6" s="5" t="s">
        <v>131</v>
      </c>
      <c r="V6" s="6" t="s">
        <v>230</v>
      </c>
      <c r="W6" s="5" t="s">
        <v>203</v>
      </c>
      <c r="X6" s="5" t="s">
        <v>131</v>
      </c>
      <c r="Y6" s="5" t="s">
        <v>158</v>
      </c>
      <c r="Z6" t="s">
        <v>196</v>
      </c>
      <c r="AA6" s="5" t="s">
        <v>217</v>
      </c>
      <c r="AB6" s="5" t="s">
        <v>76</v>
      </c>
      <c r="AC6" s="5" t="s">
        <v>238</v>
      </c>
      <c r="AD6" s="5" t="s">
        <v>236</v>
      </c>
    </row>
    <row r="7" spans="1:37" x14ac:dyDescent="0.25">
      <c r="A7" t="s">
        <v>76</v>
      </c>
      <c r="B7" t="s">
        <v>36</v>
      </c>
      <c r="C7" t="s">
        <v>35</v>
      </c>
      <c r="D7">
        <v>2014</v>
      </c>
      <c r="E7" t="s">
        <v>157</v>
      </c>
      <c r="F7" t="s">
        <v>157</v>
      </c>
      <c r="G7" s="5" t="s">
        <v>131</v>
      </c>
      <c r="H7" s="5" t="s">
        <v>76</v>
      </c>
      <c r="I7" s="5" t="s">
        <v>76</v>
      </c>
      <c r="J7" s="5" t="s">
        <v>131</v>
      </c>
      <c r="K7" s="5" t="s">
        <v>153</v>
      </c>
      <c r="L7" s="6" t="s">
        <v>136</v>
      </c>
      <c r="M7" s="5" t="s">
        <v>243</v>
      </c>
      <c r="N7" s="5" t="s">
        <v>163</v>
      </c>
      <c r="O7" t="s">
        <v>131</v>
      </c>
      <c r="P7" s="5" t="s">
        <v>131</v>
      </c>
      <c r="Q7" s="5" t="s">
        <v>131</v>
      </c>
      <c r="R7" s="5" t="s">
        <v>133</v>
      </c>
      <c r="S7" s="5" t="s">
        <v>131</v>
      </c>
      <c r="T7" s="5" t="s">
        <v>131</v>
      </c>
      <c r="U7" s="5" t="s">
        <v>131</v>
      </c>
      <c r="V7" s="6" t="s">
        <v>230</v>
      </c>
      <c r="W7" s="5" t="s">
        <v>164</v>
      </c>
      <c r="X7" s="5" t="s">
        <v>242</v>
      </c>
      <c r="Y7" s="5" t="s">
        <v>145</v>
      </c>
      <c r="Z7" t="s">
        <v>170</v>
      </c>
      <c r="AA7" s="6" t="s">
        <v>217</v>
      </c>
      <c r="AB7" s="5" t="s">
        <v>131</v>
      </c>
      <c r="AC7" s="5" t="s">
        <v>131</v>
      </c>
      <c r="AD7" t="s">
        <v>246</v>
      </c>
      <c r="AG7" s="5"/>
      <c r="AH7" s="5"/>
      <c r="AI7" s="5"/>
      <c r="AJ7" s="5"/>
      <c r="AK7" s="5"/>
    </row>
    <row r="8" spans="1:37" x14ac:dyDescent="0.25">
      <c r="A8" t="s">
        <v>76</v>
      </c>
      <c r="B8" t="s">
        <v>42</v>
      </c>
      <c r="C8" t="s">
        <v>41</v>
      </c>
      <c r="D8">
        <v>2014</v>
      </c>
      <c r="E8" t="s">
        <v>332</v>
      </c>
      <c r="F8" t="s">
        <v>322</v>
      </c>
      <c r="G8" s="5" t="s">
        <v>131</v>
      </c>
      <c r="H8" s="5" t="s">
        <v>76</v>
      </c>
      <c r="I8" s="5" t="s">
        <v>76</v>
      </c>
      <c r="J8" s="5" t="s">
        <v>131</v>
      </c>
      <c r="K8" s="5" t="s">
        <v>153</v>
      </c>
      <c r="L8" s="5" t="s">
        <v>136</v>
      </c>
      <c r="M8" s="5" t="s">
        <v>387</v>
      </c>
      <c r="N8" s="6" t="s">
        <v>163</v>
      </c>
      <c r="O8" t="s">
        <v>131</v>
      </c>
      <c r="P8" s="5" t="s">
        <v>131</v>
      </c>
      <c r="Q8" s="5" t="s">
        <v>131</v>
      </c>
      <c r="R8" s="5" t="s">
        <v>76</v>
      </c>
      <c r="S8" s="5" t="s">
        <v>133</v>
      </c>
      <c r="T8" s="5" t="s">
        <v>133</v>
      </c>
      <c r="U8" s="5" t="s">
        <v>131</v>
      </c>
      <c r="V8" s="5" t="s">
        <v>247</v>
      </c>
      <c r="W8" s="5" t="s">
        <v>245</v>
      </c>
      <c r="X8" s="5" t="s">
        <v>177</v>
      </c>
      <c r="Y8" s="5" t="s">
        <v>145</v>
      </c>
      <c r="Z8" t="s">
        <v>170</v>
      </c>
      <c r="AA8" s="6" t="s">
        <v>217</v>
      </c>
      <c r="AB8" s="5" t="s">
        <v>131</v>
      </c>
      <c r="AC8" s="5" t="s">
        <v>131</v>
      </c>
      <c r="AD8" t="s">
        <v>246</v>
      </c>
    </row>
    <row r="9" spans="1:37" x14ac:dyDescent="0.25">
      <c r="A9" t="s">
        <v>76</v>
      </c>
      <c r="B9" t="s">
        <v>258</v>
      </c>
      <c r="C9" t="s">
        <v>85</v>
      </c>
      <c r="D9">
        <v>2014</v>
      </c>
      <c r="E9" t="s">
        <v>333</v>
      </c>
      <c r="F9" t="s">
        <v>323</v>
      </c>
      <c r="G9" s="5" t="s">
        <v>131</v>
      </c>
      <c r="H9" s="5" t="s">
        <v>76</v>
      </c>
      <c r="I9" s="5" t="s">
        <v>131</v>
      </c>
      <c r="J9" s="5" t="s">
        <v>76</v>
      </c>
      <c r="K9" s="5" t="s">
        <v>139</v>
      </c>
      <c r="L9" s="6" t="s">
        <v>136</v>
      </c>
      <c r="M9" s="5" t="s">
        <v>257</v>
      </c>
      <c r="N9" s="5" t="s">
        <v>163</v>
      </c>
      <c r="O9" t="s">
        <v>131</v>
      </c>
      <c r="P9" s="5" t="s">
        <v>131</v>
      </c>
      <c r="Q9" s="5" t="s">
        <v>131</v>
      </c>
      <c r="R9" s="5" t="s">
        <v>131</v>
      </c>
      <c r="S9" s="5" t="s">
        <v>76</v>
      </c>
      <c r="T9" s="5" t="s">
        <v>131</v>
      </c>
      <c r="U9" s="5" t="s">
        <v>131</v>
      </c>
      <c r="V9" s="6" t="s">
        <v>230</v>
      </c>
      <c r="W9" s="5" t="s">
        <v>164</v>
      </c>
      <c r="X9" s="5" t="s">
        <v>259</v>
      </c>
      <c r="Y9" s="5" t="s">
        <v>145</v>
      </c>
      <c r="Z9" t="s">
        <v>196</v>
      </c>
      <c r="AA9" s="6" t="s">
        <v>256</v>
      </c>
      <c r="AB9" s="5" t="s">
        <v>131</v>
      </c>
      <c r="AC9" s="5" t="s">
        <v>131</v>
      </c>
    </row>
    <row r="10" spans="1:37" s="5" customFormat="1" x14ac:dyDescent="0.25">
      <c r="A10" t="s">
        <v>76</v>
      </c>
      <c r="B10" t="s">
        <v>22</v>
      </c>
      <c r="C10" t="s">
        <v>21</v>
      </c>
      <c r="D10">
        <v>2014</v>
      </c>
      <c r="E10" t="s">
        <v>157</v>
      </c>
      <c r="F10" t="s">
        <v>157</v>
      </c>
      <c r="G10" s="5" t="s">
        <v>131</v>
      </c>
      <c r="H10" s="5" t="s">
        <v>76</v>
      </c>
      <c r="I10" s="5" t="s">
        <v>131</v>
      </c>
      <c r="J10" s="5" t="s">
        <v>76</v>
      </c>
      <c r="K10" s="5" t="s">
        <v>139</v>
      </c>
      <c r="L10" s="5" t="s">
        <v>397</v>
      </c>
      <c r="M10" s="5" t="s">
        <v>225</v>
      </c>
      <c r="N10" s="5" t="s">
        <v>163</v>
      </c>
      <c r="O10" t="s">
        <v>131</v>
      </c>
      <c r="P10" s="5" t="s">
        <v>131</v>
      </c>
      <c r="Q10" s="5" t="s">
        <v>131</v>
      </c>
      <c r="R10" s="5" t="s">
        <v>133</v>
      </c>
      <c r="S10" s="5" t="s">
        <v>131</v>
      </c>
      <c r="T10" s="5" t="s">
        <v>131</v>
      </c>
      <c r="U10" s="5" t="s">
        <v>131</v>
      </c>
      <c r="V10" s="5" t="s">
        <v>182</v>
      </c>
      <c r="W10" s="5" t="s">
        <v>131</v>
      </c>
      <c r="X10" s="5" t="s">
        <v>131</v>
      </c>
      <c r="Y10" s="5" t="s">
        <v>145</v>
      </c>
      <c r="Z10" t="s">
        <v>196</v>
      </c>
      <c r="AA10" s="6" t="s">
        <v>217</v>
      </c>
      <c r="AB10" s="5" t="s">
        <v>131</v>
      </c>
      <c r="AC10" s="5" t="s">
        <v>292</v>
      </c>
      <c r="AD10"/>
      <c r="AE10"/>
      <c r="AF10"/>
      <c r="AG10"/>
      <c r="AH10"/>
      <c r="AI10"/>
      <c r="AJ10"/>
      <c r="AK10"/>
    </row>
    <row r="11" spans="1:37" x14ac:dyDescent="0.25">
      <c r="A11" t="s">
        <v>76</v>
      </c>
      <c r="B11" t="s">
        <v>18</v>
      </c>
      <c r="C11" t="s">
        <v>17</v>
      </c>
      <c r="D11">
        <v>2014</v>
      </c>
      <c r="E11" t="s">
        <v>157</v>
      </c>
      <c r="F11" t="s">
        <v>157</v>
      </c>
      <c r="G11" s="5" t="s">
        <v>131</v>
      </c>
      <c r="H11" s="5" t="s">
        <v>76</v>
      </c>
      <c r="I11" s="5" t="s">
        <v>131</v>
      </c>
      <c r="J11" s="5" t="s">
        <v>76</v>
      </c>
      <c r="K11" t="s">
        <v>207</v>
      </c>
      <c r="L11" s="6" t="s">
        <v>136</v>
      </c>
      <c r="M11" t="s">
        <v>294</v>
      </c>
      <c r="N11" s="5" t="s">
        <v>163</v>
      </c>
      <c r="O11" t="s">
        <v>131</v>
      </c>
      <c r="P11" s="5" t="s">
        <v>131</v>
      </c>
      <c r="Q11" s="5" t="s">
        <v>131</v>
      </c>
      <c r="R11" s="5" t="s">
        <v>76</v>
      </c>
      <c r="S11" s="5" t="s">
        <v>133</v>
      </c>
      <c r="T11" s="5" t="s">
        <v>131</v>
      </c>
      <c r="U11" s="5" t="s">
        <v>131</v>
      </c>
      <c r="V11" s="5" t="s">
        <v>182</v>
      </c>
      <c r="W11" s="5" t="s">
        <v>285</v>
      </c>
      <c r="X11" s="5" t="s">
        <v>291</v>
      </c>
      <c r="Y11" s="5" t="s">
        <v>138</v>
      </c>
      <c r="Z11" t="s">
        <v>170</v>
      </c>
      <c r="AA11" s="5" t="s">
        <v>217</v>
      </c>
      <c r="AB11" s="5" t="s">
        <v>76</v>
      </c>
      <c r="AC11" s="5" t="s">
        <v>292</v>
      </c>
      <c r="AD11" s="5" t="s">
        <v>293</v>
      </c>
    </row>
    <row r="12" spans="1:37" x14ac:dyDescent="0.25">
      <c r="A12" t="s">
        <v>76</v>
      </c>
      <c r="B12" t="s">
        <v>95</v>
      </c>
      <c r="C12" t="s">
        <v>94</v>
      </c>
      <c r="D12">
        <v>2015</v>
      </c>
      <c r="E12" t="s">
        <v>321</v>
      </c>
      <c r="F12" t="s">
        <v>321</v>
      </c>
      <c r="G12" t="s">
        <v>131</v>
      </c>
      <c r="H12" s="5" t="s">
        <v>76</v>
      </c>
      <c r="I12" t="s">
        <v>131</v>
      </c>
      <c r="J12" t="s">
        <v>76</v>
      </c>
      <c r="K12" t="s">
        <v>139</v>
      </c>
      <c r="L12" s="4" t="s">
        <v>136</v>
      </c>
      <c r="M12" t="s">
        <v>168</v>
      </c>
      <c r="N12" s="6" t="s">
        <v>163</v>
      </c>
      <c r="O12" t="s">
        <v>131</v>
      </c>
      <c r="P12" t="s">
        <v>133</v>
      </c>
      <c r="Q12" t="s">
        <v>131</v>
      </c>
      <c r="R12" t="s">
        <v>131</v>
      </c>
      <c r="S12" t="s">
        <v>133</v>
      </c>
      <c r="T12" t="s">
        <v>131</v>
      </c>
      <c r="U12" t="s">
        <v>131</v>
      </c>
      <c r="V12" s="6" t="s">
        <v>230</v>
      </c>
      <c r="W12" t="s">
        <v>164</v>
      </c>
      <c r="X12" t="s">
        <v>131</v>
      </c>
      <c r="Y12" t="s">
        <v>145</v>
      </c>
      <c r="Z12" t="s">
        <v>165</v>
      </c>
      <c r="AA12" s="6" t="s">
        <v>217</v>
      </c>
      <c r="AB12" t="s">
        <v>76</v>
      </c>
      <c r="AC12" t="s">
        <v>166</v>
      </c>
      <c r="AD12" t="s">
        <v>167</v>
      </c>
    </row>
    <row r="13" spans="1:37" x14ac:dyDescent="0.25">
      <c r="A13" s="5" t="s">
        <v>76</v>
      </c>
      <c r="B13" s="5" t="s">
        <v>79</v>
      </c>
      <c r="C13" s="5" t="s">
        <v>80</v>
      </c>
      <c r="D13" s="5">
        <v>2015</v>
      </c>
      <c r="E13" s="5" t="s">
        <v>212</v>
      </c>
      <c r="F13" s="5" t="s">
        <v>212</v>
      </c>
      <c r="G13" s="5" t="s">
        <v>131</v>
      </c>
      <c r="H13" s="5" t="s">
        <v>76</v>
      </c>
      <c r="I13" s="5" t="s">
        <v>131</v>
      </c>
      <c r="J13" s="5" t="s">
        <v>76</v>
      </c>
      <c r="K13" s="5" t="s">
        <v>153</v>
      </c>
      <c r="L13" s="5" t="s">
        <v>396</v>
      </c>
      <c r="M13" s="5" t="s">
        <v>169</v>
      </c>
      <c r="N13" s="5" t="s">
        <v>143</v>
      </c>
      <c r="O13" s="5" t="s">
        <v>131</v>
      </c>
      <c r="P13" s="5" t="s">
        <v>131</v>
      </c>
      <c r="Q13" s="5" t="s">
        <v>131</v>
      </c>
      <c r="R13" s="5" t="s">
        <v>133</v>
      </c>
      <c r="S13" s="5" t="s">
        <v>131</v>
      </c>
      <c r="T13" s="5" t="s">
        <v>131</v>
      </c>
      <c r="U13" s="5" t="s">
        <v>131</v>
      </c>
      <c r="V13" s="6" t="s">
        <v>230</v>
      </c>
      <c r="W13" s="5" t="s">
        <v>131</v>
      </c>
      <c r="X13" s="5" t="s">
        <v>131</v>
      </c>
      <c r="Y13" s="5" t="s">
        <v>145</v>
      </c>
      <c r="Z13" s="5" t="s">
        <v>165</v>
      </c>
      <c r="AA13" s="5" t="s">
        <v>131</v>
      </c>
      <c r="AB13" s="5" t="s">
        <v>76</v>
      </c>
      <c r="AC13" s="5" t="s">
        <v>131</v>
      </c>
      <c r="AD13" s="5" t="s">
        <v>171</v>
      </c>
      <c r="AE13" s="5"/>
      <c r="AF13" s="5"/>
    </row>
    <row r="14" spans="1:37" x14ac:dyDescent="0.25">
      <c r="A14" t="s">
        <v>76</v>
      </c>
      <c r="B14" t="s">
        <v>93</v>
      </c>
      <c r="C14" t="s">
        <v>92</v>
      </c>
      <c r="D14">
        <v>2015</v>
      </c>
      <c r="E14" s="5" t="s">
        <v>332</v>
      </c>
      <c r="F14" s="5" t="s">
        <v>324</v>
      </c>
      <c r="G14" s="5" t="s">
        <v>131</v>
      </c>
      <c r="H14" s="5" t="s">
        <v>76</v>
      </c>
      <c r="I14" s="5" t="s">
        <v>131</v>
      </c>
      <c r="J14" s="5" t="s">
        <v>76</v>
      </c>
      <c r="K14" s="5" t="s">
        <v>139</v>
      </c>
      <c r="L14" s="6" t="s">
        <v>136</v>
      </c>
      <c r="M14" s="5" t="s">
        <v>176</v>
      </c>
      <c r="N14" t="s">
        <v>163</v>
      </c>
      <c r="O14" s="5" t="s">
        <v>131</v>
      </c>
      <c r="P14" s="5" t="s">
        <v>133</v>
      </c>
      <c r="Q14" s="5" t="s">
        <v>131</v>
      </c>
      <c r="R14" s="5" t="s">
        <v>131</v>
      </c>
      <c r="S14" s="5" t="s">
        <v>133</v>
      </c>
      <c r="T14" s="5" t="s">
        <v>131</v>
      </c>
      <c r="U14" s="5" t="s">
        <v>133</v>
      </c>
      <c r="V14" s="6" t="s">
        <v>230</v>
      </c>
      <c r="W14" s="5" t="s">
        <v>164</v>
      </c>
      <c r="X14" t="s">
        <v>175</v>
      </c>
      <c r="Y14" t="s">
        <v>138</v>
      </c>
      <c r="Z14" s="5" t="s">
        <v>165</v>
      </c>
      <c r="AA14" s="5" t="s">
        <v>131</v>
      </c>
      <c r="AB14" s="5" t="s">
        <v>133</v>
      </c>
      <c r="AC14" s="5" t="s">
        <v>131</v>
      </c>
    </row>
    <row r="15" spans="1:37" x14ac:dyDescent="0.25">
      <c r="A15" t="s">
        <v>76</v>
      </c>
      <c r="B15" t="s">
        <v>395</v>
      </c>
      <c r="C15" t="s">
        <v>125</v>
      </c>
      <c r="D15">
        <v>2015</v>
      </c>
      <c r="E15" t="s">
        <v>157</v>
      </c>
      <c r="F15" t="s">
        <v>157</v>
      </c>
      <c r="G15" s="5" t="s">
        <v>133</v>
      </c>
      <c r="H15" s="5" t="s">
        <v>133</v>
      </c>
      <c r="I15" s="5" t="s">
        <v>131</v>
      </c>
      <c r="J15" s="5" t="s">
        <v>76</v>
      </c>
      <c r="K15" s="5" t="s">
        <v>139</v>
      </c>
      <c r="L15" s="5" t="s">
        <v>281</v>
      </c>
      <c r="M15" s="5" t="s">
        <v>178</v>
      </c>
      <c r="N15" t="s">
        <v>163</v>
      </c>
      <c r="O15" s="5" t="s">
        <v>131</v>
      </c>
      <c r="P15" s="5" t="s">
        <v>133</v>
      </c>
      <c r="Q15" s="5" t="s">
        <v>131</v>
      </c>
      <c r="R15" s="5" t="s">
        <v>76</v>
      </c>
      <c r="S15" s="5" t="s">
        <v>133</v>
      </c>
      <c r="T15" s="5" t="s">
        <v>131</v>
      </c>
      <c r="U15" s="5" t="s">
        <v>133</v>
      </c>
      <c r="V15" s="5" t="s">
        <v>182</v>
      </c>
      <c r="W15" s="5" t="s">
        <v>184</v>
      </c>
      <c r="X15" t="s">
        <v>183</v>
      </c>
      <c r="Y15" t="s">
        <v>145</v>
      </c>
      <c r="Z15" t="s">
        <v>165</v>
      </c>
      <c r="AA15" s="6" t="s">
        <v>217</v>
      </c>
      <c r="AB15" s="5" t="s">
        <v>133</v>
      </c>
      <c r="AC15" s="5" t="s">
        <v>131</v>
      </c>
      <c r="AD15" s="5" t="s">
        <v>185</v>
      </c>
    </row>
    <row r="16" spans="1:37" x14ac:dyDescent="0.25">
      <c r="A16" t="s">
        <v>76</v>
      </c>
      <c r="B16" s="8" t="s">
        <v>12</v>
      </c>
      <c r="C16" t="s">
        <v>11</v>
      </c>
      <c r="D16">
        <v>2015</v>
      </c>
      <c r="E16" t="s">
        <v>157</v>
      </c>
      <c r="F16" t="s">
        <v>157</v>
      </c>
      <c r="G16" s="5" t="s">
        <v>76</v>
      </c>
      <c r="H16" s="5" t="s">
        <v>131</v>
      </c>
      <c r="I16" s="5" t="s">
        <v>76</v>
      </c>
      <c r="J16" s="5" t="s">
        <v>131</v>
      </c>
      <c r="K16" s="5" t="s">
        <v>153</v>
      </c>
      <c r="L16" s="6" t="s">
        <v>136</v>
      </c>
      <c r="M16" s="5" t="s">
        <v>131</v>
      </c>
      <c r="N16" s="6" t="s">
        <v>163</v>
      </c>
      <c r="O16" t="s">
        <v>187</v>
      </c>
      <c r="P16" s="5" t="s">
        <v>133</v>
      </c>
      <c r="Q16" s="5" t="s">
        <v>131</v>
      </c>
      <c r="R16" s="5" t="s">
        <v>133</v>
      </c>
      <c r="S16" s="5" t="s">
        <v>76</v>
      </c>
      <c r="T16" s="5" t="s">
        <v>133</v>
      </c>
      <c r="U16" s="5" t="s">
        <v>131</v>
      </c>
      <c r="V16" s="5" t="s">
        <v>204</v>
      </c>
      <c r="W16" s="5" t="s">
        <v>186</v>
      </c>
      <c r="X16" t="s">
        <v>373</v>
      </c>
      <c r="Y16" t="s">
        <v>158</v>
      </c>
      <c r="Z16" t="s">
        <v>196</v>
      </c>
      <c r="AA16" s="5" t="s">
        <v>131</v>
      </c>
      <c r="AB16" s="5" t="s">
        <v>131</v>
      </c>
      <c r="AC16" s="5" t="s">
        <v>131</v>
      </c>
      <c r="AD16" t="s">
        <v>191</v>
      </c>
      <c r="AE16" t="s">
        <v>198</v>
      </c>
    </row>
    <row r="17" spans="1:31" x14ac:dyDescent="0.25">
      <c r="A17" t="s">
        <v>76</v>
      </c>
      <c r="B17" s="8" t="s">
        <v>12</v>
      </c>
      <c r="C17" t="s">
        <v>188</v>
      </c>
      <c r="D17">
        <v>2015</v>
      </c>
      <c r="E17" t="s">
        <v>157</v>
      </c>
      <c r="F17" t="s">
        <v>157</v>
      </c>
      <c r="G17" s="5" t="s">
        <v>76</v>
      </c>
      <c r="H17" s="5" t="s">
        <v>131</v>
      </c>
      <c r="I17" s="5" t="s">
        <v>76</v>
      </c>
      <c r="J17" s="5" t="s">
        <v>131</v>
      </c>
      <c r="K17" s="5" t="s">
        <v>146</v>
      </c>
      <c r="L17" s="6" t="s">
        <v>136</v>
      </c>
      <c r="M17" s="5" t="s">
        <v>131</v>
      </c>
      <c r="N17" s="6" t="s">
        <v>163</v>
      </c>
      <c r="O17" t="s">
        <v>192</v>
      </c>
      <c r="P17" s="5" t="s">
        <v>131</v>
      </c>
      <c r="Q17" s="5" t="s">
        <v>131</v>
      </c>
      <c r="R17" s="5" t="s">
        <v>133</v>
      </c>
      <c r="S17" s="5" t="s">
        <v>76</v>
      </c>
      <c r="T17" s="5" t="s">
        <v>76</v>
      </c>
      <c r="U17" s="5" t="s">
        <v>131</v>
      </c>
      <c r="V17" t="s">
        <v>193</v>
      </c>
      <c r="W17" s="5" t="s">
        <v>195</v>
      </c>
      <c r="X17" t="s">
        <v>197</v>
      </c>
      <c r="Y17" t="s">
        <v>158</v>
      </c>
      <c r="Z17" t="s">
        <v>196</v>
      </c>
      <c r="AA17" s="5" t="s">
        <v>131</v>
      </c>
      <c r="AB17" s="5" t="s">
        <v>131</v>
      </c>
      <c r="AC17" s="5" t="s">
        <v>131</v>
      </c>
      <c r="AD17" t="s">
        <v>200</v>
      </c>
      <c r="AE17" t="s">
        <v>198</v>
      </c>
    </row>
    <row r="18" spans="1:31" x14ac:dyDescent="0.25">
      <c r="A18" t="s">
        <v>76</v>
      </c>
      <c r="B18" s="8" t="s">
        <v>189</v>
      </c>
      <c r="C18" t="s">
        <v>190</v>
      </c>
      <c r="D18">
        <v>2015</v>
      </c>
      <c r="E18" t="s">
        <v>157</v>
      </c>
      <c r="F18" t="s">
        <v>157</v>
      </c>
      <c r="G18" s="5" t="s">
        <v>76</v>
      </c>
      <c r="H18" s="5" t="s">
        <v>131</v>
      </c>
      <c r="I18" s="5" t="s">
        <v>76</v>
      </c>
      <c r="J18" s="5" t="s">
        <v>131</v>
      </c>
      <c r="K18" s="5" t="s">
        <v>153</v>
      </c>
      <c r="L18" s="6" t="s">
        <v>136</v>
      </c>
      <c r="M18" s="5" t="s">
        <v>131</v>
      </c>
      <c r="N18" s="6" t="s">
        <v>163</v>
      </c>
      <c r="O18" t="s">
        <v>131</v>
      </c>
      <c r="P18" s="5" t="s">
        <v>131</v>
      </c>
      <c r="Q18" s="5" t="s">
        <v>131</v>
      </c>
      <c r="R18" s="5" t="s">
        <v>76</v>
      </c>
      <c r="S18" s="5" t="s">
        <v>76</v>
      </c>
      <c r="T18" s="5" t="s">
        <v>131</v>
      </c>
      <c r="U18" s="5" t="s">
        <v>131</v>
      </c>
      <c r="V18" t="s">
        <v>193</v>
      </c>
      <c r="W18" s="5" t="s">
        <v>164</v>
      </c>
      <c r="X18" t="s">
        <v>374</v>
      </c>
      <c r="Y18" t="s">
        <v>158</v>
      </c>
      <c r="Z18" t="s">
        <v>196</v>
      </c>
      <c r="AA18" s="5" t="s">
        <v>131</v>
      </c>
      <c r="AB18" s="5" t="s">
        <v>131</v>
      </c>
      <c r="AC18" s="5" t="s">
        <v>131</v>
      </c>
      <c r="AD18" t="s">
        <v>199</v>
      </c>
      <c r="AE18" t="s">
        <v>198</v>
      </c>
    </row>
    <row r="19" spans="1:31" x14ac:dyDescent="0.25">
      <c r="A19" t="s">
        <v>76</v>
      </c>
      <c r="B19" t="s">
        <v>26</v>
      </c>
      <c r="C19" t="s">
        <v>25</v>
      </c>
      <c r="D19">
        <v>2015</v>
      </c>
      <c r="E19" t="s">
        <v>331</v>
      </c>
      <c r="F19" t="s">
        <v>325</v>
      </c>
      <c r="G19" s="5" t="s">
        <v>131</v>
      </c>
      <c r="H19" s="5" t="s">
        <v>76</v>
      </c>
      <c r="I19" s="5" t="s">
        <v>131</v>
      </c>
      <c r="J19" s="5" t="s">
        <v>76</v>
      </c>
      <c r="K19" s="5" t="s">
        <v>139</v>
      </c>
      <c r="L19" s="5" t="s">
        <v>396</v>
      </c>
      <c r="M19" s="5" t="s">
        <v>202</v>
      </c>
      <c r="N19" s="6" t="s">
        <v>163</v>
      </c>
      <c r="O19" t="s">
        <v>201</v>
      </c>
      <c r="P19" s="5" t="s">
        <v>133</v>
      </c>
      <c r="Q19" s="5" t="s">
        <v>133</v>
      </c>
      <c r="R19" s="5" t="s">
        <v>131</v>
      </c>
      <c r="S19" s="5" t="s">
        <v>131</v>
      </c>
      <c r="T19" s="5" t="s">
        <v>131</v>
      </c>
      <c r="U19" s="5" t="s">
        <v>131</v>
      </c>
      <c r="V19" s="6" t="s">
        <v>230</v>
      </c>
      <c r="W19" s="5" t="s">
        <v>131</v>
      </c>
      <c r="X19" s="5" t="s">
        <v>131</v>
      </c>
      <c r="Y19" t="s">
        <v>145</v>
      </c>
      <c r="Z19" t="s">
        <v>165</v>
      </c>
      <c r="AA19" s="6" t="s">
        <v>255</v>
      </c>
      <c r="AB19" s="5" t="s">
        <v>76</v>
      </c>
      <c r="AC19" s="5" t="s">
        <v>131</v>
      </c>
    </row>
    <row r="20" spans="1:31" x14ac:dyDescent="0.25">
      <c r="A20" t="s">
        <v>76</v>
      </c>
      <c r="B20" t="s">
        <v>77</v>
      </c>
      <c r="C20" t="s">
        <v>52</v>
      </c>
      <c r="D20">
        <v>2015</v>
      </c>
      <c r="E20" t="s">
        <v>157</v>
      </c>
      <c r="F20" t="s">
        <v>157</v>
      </c>
      <c r="G20" s="5" t="s">
        <v>131</v>
      </c>
      <c r="H20" s="5" t="s">
        <v>76</v>
      </c>
      <c r="I20" s="5" t="s">
        <v>76</v>
      </c>
      <c r="J20" s="5" t="s">
        <v>131</v>
      </c>
      <c r="K20" s="5" t="s">
        <v>153</v>
      </c>
      <c r="L20" s="6" t="s">
        <v>397</v>
      </c>
      <c r="M20" s="5" t="s">
        <v>243</v>
      </c>
      <c r="N20" s="5" t="s">
        <v>163</v>
      </c>
      <c r="O20" t="s">
        <v>131</v>
      </c>
      <c r="P20" s="5" t="s">
        <v>131</v>
      </c>
      <c r="R20" s="5" t="s">
        <v>133</v>
      </c>
      <c r="S20" s="5" t="s">
        <v>133</v>
      </c>
      <c r="T20" s="5" t="s">
        <v>133</v>
      </c>
      <c r="U20" s="5" t="s">
        <v>131</v>
      </c>
      <c r="V20" s="6" t="s">
        <v>230</v>
      </c>
      <c r="W20" s="5" t="s">
        <v>164</v>
      </c>
      <c r="X20" t="s">
        <v>183</v>
      </c>
      <c r="Y20" s="5" t="s">
        <v>145</v>
      </c>
      <c r="Z20" t="s">
        <v>170</v>
      </c>
      <c r="AA20" s="6" t="s">
        <v>217</v>
      </c>
      <c r="AB20" s="5" t="s">
        <v>131</v>
      </c>
      <c r="AC20" s="5" t="s">
        <v>320</v>
      </c>
      <c r="AD20" t="s">
        <v>246</v>
      </c>
    </row>
    <row r="21" spans="1:31" x14ac:dyDescent="0.25">
      <c r="A21" t="s">
        <v>76</v>
      </c>
      <c r="B21" t="s">
        <v>20</v>
      </c>
      <c r="C21" t="s">
        <v>19</v>
      </c>
      <c r="D21">
        <v>2015</v>
      </c>
      <c r="E21" t="s">
        <v>157</v>
      </c>
      <c r="F21" t="s">
        <v>157</v>
      </c>
      <c r="G21" s="5" t="s">
        <v>131</v>
      </c>
      <c r="H21" s="5" t="s">
        <v>76</v>
      </c>
      <c r="I21" s="5" t="s">
        <v>76</v>
      </c>
      <c r="J21" s="5" t="s">
        <v>131</v>
      </c>
      <c r="K21" s="5" t="s">
        <v>223</v>
      </c>
      <c r="L21" s="6" t="s">
        <v>136</v>
      </c>
      <c r="M21" t="s">
        <v>155</v>
      </c>
      <c r="N21" s="5" t="s">
        <v>163</v>
      </c>
      <c r="O21" t="s">
        <v>131</v>
      </c>
      <c r="P21" s="5" t="s">
        <v>131</v>
      </c>
      <c r="Q21" s="5" t="s">
        <v>131</v>
      </c>
      <c r="R21" s="5" t="s">
        <v>76</v>
      </c>
      <c r="S21" s="5" t="s">
        <v>133</v>
      </c>
      <c r="T21" s="5" t="s">
        <v>131</v>
      </c>
      <c r="U21" s="5" t="s">
        <v>131</v>
      </c>
      <c r="V21" s="5" t="s">
        <v>247</v>
      </c>
      <c r="W21" s="5" t="s">
        <v>131</v>
      </c>
      <c r="X21" s="5" t="s">
        <v>177</v>
      </c>
      <c r="Y21" s="5" t="s">
        <v>158</v>
      </c>
      <c r="Z21" s="5" t="s">
        <v>165</v>
      </c>
      <c r="AA21" s="5" t="s">
        <v>131</v>
      </c>
      <c r="AB21" s="5" t="s">
        <v>131</v>
      </c>
      <c r="AC21" s="5" t="s">
        <v>131</v>
      </c>
    </row>
    <row r="22" spans="1:31" x14ac:dyDescent="0.25">
      <c r="A22" t="s">
        <v>76</v>
      </c>
      <c r="B22" t="s">
        <v>120</v>
      </c>
      <c r="C22" t="s">
        <v>119</v>
      </c>
      <c r="D22">
        <v>2015</v>
      </c>
      <c r="E22" t="s">
        <v>157</v>
      </c>
      <c r="F22" t="s">
        <v>157</v>
      </c>
      <c r="G22" s="5" t="s">
        <v>131</v>
      </c>
      <c r="H22" s="5" t="s">
        <v>76</v>
      </c>
      <c r="I22" s="5" t="s">
        <v>76</v>
      </c>
      <c r="J22" s="5" t="s">
        <v>131</v>
      </c>
      <c r="K22" s="5" t="s">
        <v>153</v>
      </c>
      <c r="L22" s="5" t="s">
        <v>281</v>
      </c>
      <c r="M22" t="s">
        <v>155</v>
      </c>
      <c r="N22" s="5" t="s">
        <v>143</v>
      </c>
      <c r="O22" t="s">
        <v>131</v>
      </c>
      <c r="P22" s="5" t="s">
        <v>131</v>
      </c>
      <c r="Q22" s="5" t="s">
        <v>131</v>
      </c>
      <c r="R22" s="5" t="s">
        <v>133</v>
      </c>
      <c r="S22" s="5" t="s">
        <v>131</v>
      </c>
      <c r="T22" s="5" t="s">
        <v>131</v>
      </c>
      <c r="U22" s="5" t="s">
        <v>131</v>
      </c>
      <c r="V22" s="6" t="s">
        <v>247</v>
      </c>
      <c r="W22" s="5" t="s">
        <v>203</v>
      </c>
      <c r="X22" s="5" t="s">
        <v>131</v>
      </c>
      <c r="Y22" s="5" t="s">
        <v>138</v>
      </c>
      <c r="Z22" t="s">
        <v>261</v>
      </c>
      <c r="AA22" s="5" t="s">
        <v>131</v>
      </c>
      <c r="AB22" s="5" t="s">
        <v>76</v>
      </c>
      <c r="AC22" s="5" t="s">
        <v>131</v>
      </c>
    </row>
    <row r="23" spans="1:31" x14ac:dyDescent="0.25">
      <c r="A23" t="s">
        <v>76</v>
      </c>
      <c r="B23" t="s">
        <v>304</v>
      </c>
      <c r="C23" t="s">
        <v>303</v>
      </c>
      <c r="D23">
        <v>2015</v>
      </c>
      <c r="E23" t="s">
        <v>157</v>
      </c>
      <c r="F23" t="s">
        <v>157</v>
      </c>
      <c r="G23" s="5" t="s">
        <v>131</v>
      </c>
      <c r="H23" s="5" t="s">
        <v>76</v>
      </c>
      <c r="I23" s="5" t="s">
        <v>76</v>
      </c>
      <c r="J23" s="5" t="s">
        <v>131</v>
      </c>
      <c r="K23" s="5" t="s">
        <v>223</v>
      </c>
      <c r="L23" s="6" t="s">
        <v>136</v>
      </c>
      <c r="M23" s="5" t="s">
        <v>319</v>
      </c>
      <c r="N23" s="5" t="s">
        <v>163</v>
      </c>
      <c r="O23" t="s">
        <v>131</v>
      </c>
      <c r="P23" s="5" t="s">
        <v>131</v>
      </c>
      <c r="Q23" s="5" t="s">
        <v>131</v>
      </c>
      <c r="R23" s="5" t="s">
        <v>133</v>
      </c>
      <c r="S23" s="5" t="s">
        <v>133</v>
      </c>
      <c r="T23" s="5" t="s">
        <v>131</v>
      </c>
      <c r="U23" s="5" t="s">
        <v>131</v>
      </c>
      <c r="V23" t="s">
        <v>317</v>
      </c>
      <c r="W23" s="5" t="s">
        <v>203</v>
      </c>
      <c r="X23" s="5" t="s">
        <v>131</v>
      </c>
      <c r="Y23" s="5" t="s">
        <v>138</v>
      </c>
      <c r="Z23" s="5" t="s">
        <v>165</v>
      </c>
      <c r="AA23" s="5" t="s">
        <v>131</v>
      </c>
      <c r="AB23" s="5" t="s">
        <v>131</v>
      </c>
      <c r="AC23" s="5" t="s">
        <v>318</v>
      </c>
      <c r="AD23" t="s">
        <v>316</v>
      </c>
    </row>
    <row r="24" spans="1:31" x14ac:dyDescent="0.25">
      <c r="A24" t="s">
        <v>76</v>
      </c>
      <c r="B24" s="9" t="s">
        <v>24</v>
      </c>
      <c r="C24" t="s">
        <v>23</v>
      </c>
      <c r="D24">
        <v>2016</v>
      </c>
      <c r="E24" t="s">
        <v>321</v>
      </c>
      <c r="F24" t="s">
        <v>321</v>
      </c>
      <c r="G24" t="s">
        <v>131</v>
      </c>
      <c r="H24" s="5" t="s">
        <v>76</v>
      </c>
      <c r="I24" t="s">
        <v>131</v>
      </c>
      <c r="J24" t="s">
        <v>76</v>
      </c>
      <c r="K24" t="s">
        <v>146</v>
      </c>
      <c r="L24" s="4" t="s">
        <v>136</v>
      </c>
      <c r="M24" t="s">
        <v>148</v>
      </c>
      <c r="N24" t="s">
        <v>149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348</v>
      </c>
      <c r="W24" t="s">
        <v>131</v>
      </c>
      <c r="X24" t="s">
        <v>131</v>
      </c>
      <c r="Y24" t="s">
        <v>145</v>
      </c>
      <c r="Z24" t="s">
        <v>170</v>
      </c>
      <c r="AA24" t="s">
        <v>131</v>
      </c>
      <c r="AB24" t="s">
        <v>131</v>
      </c>
      <c r="AC24" t="s">
        <v>147</v>
      </c>
      <c r="AD24" t="s">
        <v>152</v>
      </c>
    </row>
    <row r="25" spans="1:31" x14ac:dyDescent="0.25">
      <c r="A25" t="s">
        <v>76</v>
      </c>
      <c r="B25" t="s">
        <v>46</v>
      </c>
      <c r="C25" t="s">
        <v>45</v>
      </c>
      <c r="D25">
        <v>2016</v>
      </c>
      <c r="E25" t="s">
        <v>157</v>
      </c>
      <c r="F25" t="s">
        <v>157</v>
      </c>
      <c r="G25" s="5" t="s">
        <v>133</v>
      </c>
      <c r="H25" s="5" t="s">
        <v>133</v>
      </c>
      <c r="I25" s="5" t="s">
        <v>131</v>
      </c>
      <c r="J25" s="5" t="s">
        <v>76</v>
      </c>
      <c r="K25" s="5" t="s">
        <v>146</v>
      </c>
      <c r="L25" s="6" t="s">
        <v>136</v>
      </c>
      <c r="M25" s="5" t="s">
        <v>180</v>
      </c>
      <c r="N25" t="s">
        <v>163</v>
      </c>
      <c r="O25" s="5" t="s">
        <v>131</v>
      </c>
      <c r="P25" s="5" t="s">
        <v>131</v>
      </c>
      <c r="Q25" s="5" t="s">
        <v>131</v>
      </c>
      <c r="R25" s="5" t="s">
        <v>131</v>
      </c>
      <c r="S25" s="5" t="s">
        <v>131</v>
      </c>
      <c r="T25" s="5" t="s">
        <v>131</v>
      </c>
      <c r="U25" s="5" t="s">
        <v>131</v>
      </c>
      <c r="V25" s="6" t="s">
        <v>230</v>
      </c>
      <c r="W25" s="5" t="s">
        <v>179</v>
      </c>
      <c r="X25" s="5" t="s">
        <v>131</v>
      </c>
      <c r="Y25" t="s">
        <v>145</v>
      </c>
      <c r="Z25" t="s">
        <v>159</v>
      </c>
      <c r="AA25" s="5" t="s">
        <v>131</v>
      </c>
      <c r="AB25" s="5" t="s">
        <v>76</v>
      </c>
      <c r="AC25" t="s">
        <v>131</v>
      </c>
    </row>
    <row r="26" spans="1:31" x14ac:dyDescent="0.25">
      <c r="A26" t="s">
        <v>76</v>
      </c>
      <c r="B26" t="s">
        <v>4</v>
      </c>
      <c r="C26" t="s">
        <v>3</v>
      </c>
      <c r="D26">
        <v>2016</v>
      </c>
      <c r="E26" t="s">
        <v>333</v>
      </c>
      <c r="F26" s="5" t="s">
        <v>250</v>
      </c>
      <c r="G26" s="5" t="s">
        <v>131</v>
      </c>
      <c r="H26" s="5" t="s">
        <v>76</v>
      </c>
      <c r="I26" s="5" t="s">
        <v>76</v>
      </c>
      <c r="J26" s="5" t="s">
        <v>131</v>
      </c>
      <c r="K26" s="5" t="s">
        <v>223</v>
      </c>
      <c r="L26" s="6" t="s">
        <v>136</v>
      </c>
      <c r="M26" s="5" t="s">
        <v>220</v>
      </c>
      <c r="N26" s="5" t="s">
        <v>163</v>
      </c>
      <c r="O26" s="5" t="s">
        <v>131</v>
      </c>
      <c r="P26" s="5" t="s">
        <v>131</v>
      </c>
      <c r="Q26" s="5" t="s">
        <v>131</v>
      </c>
      <c r="R26" s="5" t="s">
        <v>76</v>
      </c>
      <c r="S26" s="5" t="s">
        <v>131</v>
      </c>
      <c r="T26" s="5" t="s">
        <v>76</v>
      </c>
      <c r="U26" s="5" t="s">
        <v>131</v>
      </c>
      <c r="V26" s="5" t="s">
        <v>182</v>
      </c>
      <c r="W26" s="5" t="s">
        <v>219</v>
      </c>
      <c r="X26" s="5" t="s">
        <v>131</v>
      </c>
      <c r="Y26" s="5" t="s">
        <v>158</v>
      </c>
      <c r="Z26" s="5" t="s">
        <v>165</v>
      </c>
      <c r="AA26" s="5" t="s">
        <v>131</v>
      </c>
      <c r="AB26" s="5" t="s">
        <v>76</v>
      </c>
      <c r="AC26" s="5" t="s">
        <v>221</v>
      </c>
      <c r="AD26" s="5" t="s">
        <v>222</v>
      </c>
      <c r="AE26" s="5"/>
    </row>
    <row r="27" spans="1:31" x14ac:dyDescent="0.25">
      <c r="A27" t="s">
        <v>76</v>
      </c>
      <c r="B27" t="s">
        <v>114</v>
      </c>
      <c r="C27" t="s">
        <v>113</v>
      </c>
      <c r="D27">
        <v>2016</v>
      </c>
      <c r="E27" t="s">
        <v>157</v>
      </c>
      <c r="F27" t="s">
        <v>157</v>
      </c>
      <c r="G27" s="5" t="s">
        <v>131</v>
      </c>
      <c r="H27" s="5" t="s">
        <v>76</v>
      </c>
      <c r="I27" s="5" t="s">
        <v>76</v>
      </c>
      <c r="J27" s="5" t="s">
        <v>131</v>
      </c>
      <c r="K27" s="5" t="s">
        <v>223</v>
      </c>
      <c r="L27" s="12" t="s">
        <v>281</v>
      </c>
      <c r="M27" s="5" t="s">
        <v>225</v>
      </c>
      <c r="N27" s="5" t="s">
        <v>163</v>
      </c>
      <c r="O27" t="s">
        <v>131</v>
      </c>
      <c r="P27" s="5" t="s">
        <v>131</v>
      </c>
      <c r="Q27" s="5" t="s">
        <v>131</v>
      </c>
      <c r="R27" s="5" t="s">
        <v>76</v>
      </c>
      <c r="S27" s="5" t="s">
        <v>76</v>
      </c>
      <c r="T27" s="5" t="s">
        <v>131</v>
      </c>
      <c r="U27" s="5" t="s">
        <v>131</v>
      </c>
      <c r="V27" s="6" t="s">
        <v>230</v>
      </c>
      <c r="W27" t="s">
        <v>206</v>
      </c>
      <c r="X27" t="s">
        <v>231</v>
      </c>
      <c r="Y27" s="5" t="s">
        <v>138</v>
      </c>
      <c r="Z27" s="5" t="s">
        <v>165</v>
      </c>
      <c r="AA27" s="6" t="s">
        <v>256</v>
      </c>
      <c r="AB27" s="5" t="s">
        <v>131</v>
      </c>
      <c r="AC27" s="5" t="s">
        <v>131</v>
      </c>
    </row>
    <row r="28" spans="1:31" x14ac:dyDescent="0.25">
      <c r="A28" t="s">
        <v>76</v>
      </c>
      <c r="B28" t="s">
        <v>96</v>
      </c>
      <c r="C28" t="s">
        <v>97</v>
      </c>
      <c r="D28">
        <v>2016</v>
      </c>
      <c r="E28" t="s">
        <v>212</v>
      </c>
      <c r="F28" t="s">
        <v>212</v>
      </c>
      <c r="G28" s="5" t="s">
        <v>131</v>
      </c>
      <c r="H28" s="5" t="s">
        <v>76</v>
      </c>
      <c r="I28" s="5" t="s">
        <v>76</v>
      </c>
      <c r="J28" s="5" t="s">
        <v>131</v>
      </c>
      <c r="K28" s="5" t="s">
        <v>223</v>
      </c>
      <c r="L28" s="5" t="s">
        <v>397</v>
      </c>
      <c r="M28" s="5" t="s">
        <v>240</v>
      </c>
      <c r="N28" s="5" t="s">
        <v>163</v>
      </c>
      <c r="O28" t="s">
        <v>131</v>
      </c>
      <c r="P28" s="5" t="s">
        <v>131</v>
      </c>
      <c r="Q28" s="5" t="s">
        <v>131</v>
      </c>
      <c r="R28" s="5" t="s">
        <v>133</v>
      </c>
      <c r="S28" s="5" t="s">
        <v>131</v>
      </c>
      <c r="T28" s="5" t="s">
        <v>131</v>
      </c>
      <c r="U28" s="5" t="s">
        <v>131</v>
      </c>
      <c r="V28" s="6" t="s">
        <v>230</v>
      </c>
      <c r="W28" s="5" t="s">
        <v>131</v>
      </c>
      <c r="X28" s="5" t="s">
        <v>131</v>
      </c>
      <c r="Y28" s="5" t="s">
        <v>145</v>
      </c>
      <c r="Z28" t="s">
        <v>196</v>
      </c>
      <c r="AA28" s="6" t="s">
        <v>256</v>
      </c>
      <c r="AB28" s="5" t="s">
        <v>133</v>
      </c>
      <c r="AC28" s="5" t="s">
        <v>241</v>
      </c>
    </row>
    <row r="29" spans="1:31" x14ac:dyDescent="0.25">
      <c r="A29" t="s">
        <v>76</v>
      </c>
      <c r="B29" t="s">
        <v>91</v>
      </c>
      <c r="C29" t="s">
        <v>90</v>
      </c>
      <c r="D29">
        <v>2016</v>
      </c>
      <c r="E29" t="s">
        <v>332</v>
      </c>
      <c r="F29" t="s">
        <v>262</v>
      </c>
      <c r="G29" s="5" t="s">
        <v>131</v>
      </c>
      <c r="H29" s="5" t="s">
        <v>76</v>
      </c>
      <c r="I29" s="5" t="s">
        <v>131</v>
      </c>
      <c r="J29" s="5" t="s">
        <v>76</v>
      </c>
      <c r="K29" s="5" t="s">
        <v>139</v>
      </c>
      <c r="L29" s="6" t="s">
        <v>136</v>
      </c>
      <c r="M29" s="5" t="s">
        <v>386</v>
      </c>
      <c r="N29" s="5" t="s">
        <v>163</v>
      </c>
      <c r="O29" t="s">
        <v>131</v>
      </c>
      <c r="P29" s="5" t="s">
        <v>131</v>
      </c>
      <c r="Q29" s="5" t="s">
        <v>76</v>
      </c>
      <c r="R29" s="5" t="s">
        <v>76</v>
      </c>
      <c r="S29" s="5" t="s">
        <v>133</v>
      </c>
      <c r="T29" s="5" t="s">
        <v>133</v>
      </c>
      <c r="U29" s="5" t="s">
        <v>131</v>
      </c>
      <c r="V29" t="s">
        <v>247</v>
      </c>
      <c r="W29" s="5" t="s">
        <v>164</v>
      </c>
      <c r="X29" s="5" t="s">
        <v>260</v>
      </c>
      <c r="Y29" s="5" t="s">
        <v>145</v>
      </c>
      <c r="Z29" t="s">
        <v>261</v>
      </c>
      <c r="AA29" s="6" t="s">
        <v>217</v>
      </c>
      <c r="AB29" s="5" t="s">
        <v>76</v>
      </c>
      <c r="AC29" s="5" t="s">
        <v>131</v>
      </c>
    </row>
    <row r="30" spans="1:31" x14ac:dyDescent="0.25">
      <c r="A30" t="s">
        <v>76</v>
      </c>
      <c r="B30" t="s">
        <v>48</v>
      </c>
      <c r="C30" t="s">
        <v>47</v>
      </c>
      <c r="D30">
        <v>2016</v>
      </c>
      <c r="E30" t="s">
        <v>333</v>
      </c>
      <c r="F30" t="s">
        <v>264</v>
      </c>
      <c r="G30" s="5" t="s">
        <v>131</v>
      </c>
      <c r="H30" s="5" t="s">
        <v>76</v>
      </c>
      <c r="I30" s="5" t="s">
        <v>131</v>
      </c>
      <c r="J30" s="5" t="s">
        <v>76</v>
      </c>
      <c r="K30" s="5" t="s">
        <v>139</v>
      </c>
      <c r="L30" s="6" t="s">
        <v>136</v>
      </c>
      <c r="M30" s="5" t="s">
        <v>249</v>
      </c>
      <c r="N30" s="5" t="s">
        <v>163</v>
      </c>
      <c r="O30" t="s">
        <v>131</v>
      </c>
      <c r="P30" s="5" t="s">
        <v>131</v>
      </c>
      <c r="Q30" s="5" t="s">
        <v>131</v>
      </c>
      <c r="R30" s="5" t="s">
        <v>131</v>
      </c>
      <c r="S30" s="5" t="s">
        <v>133</v>
      </c>
      <c r="T30" s="5" t="s">
        <v>76</v>
      </c>
      <c r="U30" s="5" t="s">
        <v>131</v>
      </c>
      <c r="V30" s="6" t="s">
        <v>230</v>
      </c>
      <c r="W30" s="5" t="s">
        <v>263</v>
      </c>
      <c r="X30" s="5" t="s">
        <v>131</v>
      </c>
      <c r="Y30" s="5" t="s">
        <v>145</v>
      </c>
      <c r="Z30" t="s">
        <v>261</v>
      </c>
      <c r="AA30" s="5" t="s">
        <v>131</v>
      </c>
      <c r="AB30" s="5" t="s">
        <v>133</v>
      </c>
      <c r="AC30" s="5" t="s">
        <v>131</v>
      </c>
    </row>
    <row r="31" spans="1:31" x14ac:dyDescent="0.25">
      <c r="A31" t="s">
        <v>76</v>
      </c>
      <c r="B31" s="8" t="s">
        <v>44</v>
      </c>
      <c r="C31" t="s">
        <v>51</v>
      </c>
      <c r="D31">
        <v>2016</v>
      </c>
      <c r="E31" t="s">
        <v>265</v>
      </c>
      <c r="F31" t="s">
        <v>265</v>
      </c>
      <c r="G31" s="5" t="s">
        <v>76</v>
      </c>
      <c r="H31" s="5" t="s">
        <v>131</v>
      </c>
      <c r="I31" s="5" t="s">
        <v>133</v>
      </c>
      <c r="J31" s="5" t="s">
        <v>133</v>
      </c>
      <c r="K31" s="5" t="s">
        <v>223</v>
      </c>
      <c r="L31" s="5" t="s">
        <v>281</v>
      </c>
      <c r="M31" s="5" t="s">
        <v>268</v>
      </c>
      <c r="N31" s="5" t="s">
        <v>163</v>
      </c>
      <c r="O31" t="s">
        <v>266</v>
      </c>
      <c r="P31" s="5" t="s">
        <v>76</v>
      </c>
      <c r="Q31" s="5" t="s">
        <v>76</v>
      </c>
      <c r="R31" s="5" t="s">
        <v>76</v>
      </c>
      <c r="S31" s="5" t="s">
        <v>76</v>
      </c>
      <c r="T31" s="5" t="s">
        <v>133</v>
      </c>
      <c r="U31" s="5" t="s">
        <v>76</v>
      </c>
      <c r="V31" s="5" t="s">
        <v>204</v>
      </c>
      <c r="W31" s="5" t="s">
        <v>357</v>
      </c>
      <c r="X31" s="5" t="s">
        <v>267</v>
      </c>
      <c r="Y31" s="5" t="s">
        <v>145</v>
      </c>
      <c r="Z31" t="s">
        <v>270</v>
      </c>
      <c r="AA31" s="6" t="s">
        <v>256</v>
      </c>
      <c r="AB31" s="5" t="s">
        <v>131</v>
      </c>
      <c r="AC31" s="5" t="s">
        <v>292</v>
      </c>
      <c r="AD31" s="5" t="s">
        <v>269</v>
      </c>
    </row>
    <row r="32" spans="1:31" x14ac:dyDescent="0.25">
      <c r="A32" t="s">
        <v>76</v>
      </c>
      <c r="B32" s="8" t="s">
        <v>44</v>
      </c>
      <c r="C32" t="s">
        <v>43</v>
      </c>
      <c r="D32">
        <v>2016</v>
      </c>
      <c r="E32" t="s">
        <v>265</v>
      </c>
      <c r="F32" t="s">
        <v>265</v>
      </c>
      <c r="G32" s="5" t="s">
        <v>76</v>
      </c>
      <c r="H32" s="5" t="s">
        <v>131</v>
      </c>
      <c r="I32" s="5" t="s">
        <v>133</v>
      </c>
      <c r="J32" s="5" t="s">
        <v>133</v>
      </c>
      <c r="K32" s="5" t="s">
        <v>223</v>
      </c>
      <c r="L32" s="5" t="s">
        <v>396</v>
      </c>
      <c r="M32" s="5" t="s">
        <v>268</v>
      </c>
      <c r="N32" s="5" t="s">
        <v>163</v>
      </c>
      <c r="O32" s="5" t="s">
        <v>131</v>
      </c>
      <c r="P32" s="5" t="s">
        <v>76</v>
      </c>
      <c r="Q32" s="5" t="s">
        <v>76</v>
      </c>
      <c r="R32" s="5" t="s">
        <v>76</v>
      </c>
      <c r="S32" s="5" t="s">
        <v>76</v>
      </c>
      <c r="T32" s="5" t="s">
        <v>76</v>
      </c>
      <c r="U32" s="5" t="s">
        <v>76</v>
      </c>
      <c r="V32" s="5" t="s">
        <v>204</v>
      </c>
      <c r="W32" s="5" t="s">
        <v>357</v>
      </c>
      <c r="X32" s="5" t="s">
        <v>271</v>
      </c>
      <c r="Y32" s="5" t="s">
        <v>145</v>
      </c>
      <c r="Z32" t="s">
        <v>165</v>
      </c>
      <c r="AA32" s="6" t="s">
        <v>256</v>
      </c>
      <c r="AB32" s="5" t="s">
        <v>131</v>
      </c>
      <c r="AC32" s="5" t="s">
        <v>292</v>
      </c>
    </row>
    <row r="33" spans="1:32" x14ac:dyDescent="0.25">
      <c r="A33" t="s">
        <v>76</v>
      </c>
      <c r="B33" t="s">
        <v>14</v>
      </c>
      <c r="C33" t="s">
        <v>13</v>
      </c>
      <c r="D33">
        <v>2016</v>
      </c>
      <c r="E33" t="s">
        <v>157</v>
      </c>
      <c r="F33" t="s">
        <v>157</v>
      </c>
      <c r="G33" s="5" t="s">
        <v>76</v>
      </c>
      <c r="H33" s="5" t="s">
        <v>131</v>
      </c>
      <c r="I33" s="5" t="s">
        <v>76</v>
      </c>
      <c r="J33" s="5" t="s">
        <v>131</v>
      </c>
      <c r="K33" s="5" t="s">
        <v>282</v>
      </c>
      <c r="L33" s="12" t="s">
        <v>281</v>
      </c>
      <c r="M33" t="s">
        <v>283</v>
      </c>
      <c r="N33" s="5" t="s">
        <v>163</v>
      </c>
      <c r="O33" t="s">
        <v>131</v>
      </c>
      <c r="P33" s="5" t="s">
        <v>131</v>
      </c>
      <c r="Q33" s="5" t="s">
        <v>131</v>
      </c>
      <c r="R33" s="5" t="s">
        <v>133</v>
      </c>
      <c r="S33" s="5" t="s">
        <v>76</v>
      </c>
      <c r="T33" s="5" t="s">
        <v>133</v>
      </c>
      <c r="U33" s="5" t="s">
        <v>131</v>
      </c>
      <c r="V33" s="5" t="s">
        <v>204</v>
      </c>
      <c r="W33" s="5" t="s">
        <v>280</v>
      </c>
      <c r="X33" s="5" t="s">
        <v>284</v>
      </c>
      <c r="Y33" s="5" t="s">
        <v>158</v>
      </c>
      <c r="Z33" s="5" t="s">
        <v>165</v>
      </c>
      <c r="AA33" s="5" t="s">
        <v>131</v>
      </c>
      <c r="AB33" s="5" t="s">
        <v>133</v>
      </c>
      <c r="AC33" s="5" t="s">
        <v>131</v>
      </c>
      <c r="AD33" t="s">
        <v>279</v>
      </c>
      <c r="AF33" t="s">
        <v>278</v>
      </c>
    </row>
    <row r="34" spans="1:32" x14ac:dyDescent="0.25">
      <c r="A34" t="s">
        <v>76</v>
      </c>
      <c r="B34" t="s">
        <v>302</v>
      </c>
      <c r="C34" t="s">
        <v>301</v>
      </c>
      <c r="D34">
        <v>2016</v>
      </c>
      <c r="E34" t="s">
        <v>212</v>
      </c>
      <c r="F34" t="s">
        <v>212</v>
      </c>
      <c r="G34" s="5" t="s">
        <v>131</v>
      </c>
      <c r="H34" s="5" t="s">
        <v>76</v>
      </c>
      <c r="I34" s="5" t="s">
        <v>131</v>
      </c>
      <c r="J34" s="5" t="s">
        <v>76</v>
      </c>
      <c r="K34" t="s">
        <v>146</v>
      </c>
      <c r="L34" s="6" t="s">
        <v>136</v>
      </c>
      <c r="M34" t="s">
        <v>288</v>
      </c>
      <c r="N34" s="5" t="s">
        <v>163</v>
      </c>
      <c r="O34" t="s">
        <v>131</v>
      </c>
      <c r="P34" s="5" t="s">
        <v>131</v>
      </c>
      <c r="Q34" s="5" t="s">
        <v>131</v>
      </c>
      <c r="R34" s="5" t="s">
        <v>131</v>
      </c>
      <c r="S34" s="5" t="s">
        <v>133</v>
      </c>
      <c r="T34" s="5" t="s">
        <v>131</v>
      </c>
      <c r="U34" s="5" t="s">
        <v>131</v>
      </c>
      <c r="V34" t="s">
        <v>244</v>
      </c>
      <c r="W34" s="5" t="s">
        <v>131</v>
      </c>
      <c r="X34" s="5" t="s">
        <v>131</v>
      </c>
      <c r="Y34" s="5" t="s">
        <v>145</v>
      </c>
      <c r="Z34" t="s">
        <v>261</v>
      </c>
      <c r="AA34" s="5" t="s">
        <v>131</v>
      </c>
      <c r="AB34" s="5" t="s">
        <v>131</v>
      </c>
      <c r="AC34" s="5" t="s">
        <v>292</v>
      </c>
    </row>
    <row r="35" spans="1:32" x14ac:dyDescent="0.25">
      <c r="A35" t="s">
        <v>76</v>
      </c>
      <c r="B35" t="s">
        <v>105</v>
      </c>
      <c r="C35" t="s">
        <v>106</v>
      </c>
      <c r="D35">
        <v>2017</v>
      </c>
      <c r="E35" t="s">
        <v>157</v>
      </c>
      <c r="F35" t="s">
        <v>157</v>
      </c>
      <c r="G35" t="s">
        <v>131</v>
      </c>
      <c r="H35" s="5" t="s">
        <v>76</v>
      </c>
      <c r="I35" t="s">
        <v>131</v>
      </c>
      <c r="J35" t="s">
        <v>76</v>
      </c>
      <c r="K35" t="s">
        <v>139</v>
      </c>
      <c r="L35" s="3" t="s">
        <v>136</v>
      </c>
      <c r="M35" t="s">
        <v>142</v>
      </c>
      <c r="N35" s="4" t="s">
        <v>143</v>
      </c>
      <c r="O35" t="s">
        <v>131</v>
      </c>
      <c r="P35" t="s">
        <v>131</v>
      </c>
      <c r="Q35" t="s">
        <v>133</v>
      </c>
      <c r="R35" t="s">
        <v>133</v>
      </c>
      <c r="S35" t="s">
        <v>131</v>
      </c>
      <c r="T35" t="s">
        <v>131</v>
      </c>
      <c r="U35" t="s">
        <v>131</v>
      </c>
      <c r="V35" t="s">
        <v>137</v>
      </c>
      <c r="W35" t="s">
        <v>131</v>
      </c>
      <c r="X35" t="s">
        <v>131</v>
      </c>
      <c r="Y35" t="s">
        <v>138</v>
      </c>
      <c r="Z35" t="s">
        <v>170</v>
      </c>
      <c r="AA35" s="5" t="s">
        <v>217</v>
      </c>
      <c r="AB35" t="s">
        <v>76</v>
      </c>
      <c r="AC35" t="s">
        <v>140</v>
      </c>
      <c r="AD35" t="s">
        <v>141</v>
      </c>
    </row>
    <row r="36" spans="1:32" x14ac:dyDescent="0.25">
      <c r="A36" t="s">
        <v>76</v>
      </c>
      <c r="B36" t="s">
        <v>101</v>
      </c>
      <c r="C36" t="s">
        <v>100</v>
      </c>
      <c r="D36">
        <v>2017</v>
      </c>
      <c r="E36" t="s">
        <v>212</v>
      </c>
      <c r="F36" t="s">
        <v>212</v>
      </c>
      <c r="G36" s="5" t="s">
        <v>131</v>
      </c>
      <c r="H36" s="5" t="s">
        <v>76</v>
      </c>
      <c r="I36" s="5" t="s">
        <v>131</v>
      </c>
      <c r="J36" s="5" t="s">
        <v>76</v>
      </c>
      <c r="K36" s="5" t="s">
        <v>153</v>
      </c>
      <c r="L36" s="6" t="s">
        <v>136</v>
      </c>
      <c r="M36" s="5" t="s">
        <v>216</v>
      </c>
      <c r="N36" s="6" t="s">
        <v>143</v>
      </c>
      <c r="O36" s="5" t="s">
        <v>131</v>
      </c>
      <c r="P36" s="5" t="s">
        <v>131</v>
      </c>
      <c r="Q36" s="5" t="s">
        <v>131</v>
      </c>
      <c r="R36" s="5" t="s">
        <v>133</v>
      </c>
      <c r="S36" s="5" t="s">
        <v>133</v>
      </c>
      <c r="T36" s="5" t="s">
        <v>131</v>
      </c>
      <c r="U36" s="5" t="s">
        <v>131</v>
      </c>
      <c r="V36" t="s">
        <v>244</v>
      </c>
      <c r="W36" s="5" t="s">
        <v>206</v>
      </c>
      <c r="X36" t="s">
        <v>215</v>
      </c>
      <c r="Y36" s="5" t="s">
        <v>145</v>
      </c>
      <c r="Z36" t="s">
        <v>170</v>
      </c>
      <c r="AA36" s="5" t="s">
        <v>217</v>
      </c>
      <c r="AB36" s="5" t="s">
        <v>131</v>
      </c>
      <c r="AC36" s="5" t="s">
        <v>131</v>
      </c>
      <c r="AD36" s="5" t="s">
        <v>218</v>
      </c>
    </row>
    <row r="37" spans="1:32" x14ac:dyDescent="0.25">
      <c r="A37" t="s">
        <v>76</v>
      </c>
      <c r="B37" t="s">
        <v>114</v>
      </c>
      <c r="C37" t="s">
        <v>115</v>
      </c>
      <c r="D37">
        <v>2017</v>
      </c>
      <c r="E37" t="s">
        <v>331</v>
      </c>
      <c r="F37" t="s">
        <v>233</v>
      </c>
      <c r="G37" s="5" t="s">
        <v>131</v>
      </c>
      <c r="H37" s="5" t="s">
        <v>76</v>
      </c>
      <c r="I37" s="5" t="s">
        <v>76</v>
      </c>
      <c r="J37" s="5" t="s">
        <v>131</v>
      </c>
      <c r="K37" s="5" t="s">
        <v>223</v>
      </c>
      <c r="L37" s="5" t="s">
        <v>136</v>
      </c>
      <c r="M37" s="5" t="s">
        <v>225</v>
      </c>
      <c r="N37" s="5" t="s">
        <v>163</v>
      </c>
      <c r="O37" t="s">
        <v>131</v>
      </c>
      <c r="P37" s="5" t="s">
        <v>131</v>
      </c>
      <c r="Q37" s="5" t="s">
        <v>131</v>
      </c>
      <c r="R37" s="5" t="s">
        <v>76</v>
      </c>
      <c r="S37" s="5" t="s">
        <v>76</v>
      </c>
      <c r="T37" s="5" t="s">
        <v>131</v>
      </c>
      <c r="U37" s="5" t="s">
        <v>131</v>
      </c>
      <c r="V37" s="6" t="s">
        <v>230</v>
      </c>
      <c r="W37" t="s">
        <v>206</v>
      </c>
      <c r="X37" t="s">
        <v>231</v>
      </c>
      <c r="Y37" s="5" t="s">
        <v>138</v>
      </c>
      <c r="Z37" s="5" t="s">
        <v>165</v>
      </c>
      <c r="AA37" s="6" t="s">
        <v>256</v>
      </c>
      <c r="AB37" s="5" t="s">
        <v>133</v>
      </c>
      <c r="AC37" s="5" t="s">
        <v>131</v>
      </c>
      <c r="AD37" t="s">
        <v>232</v>
      </c>
    </row>
    <row r="38" spans="1:32" x14ac:dyDescent="0.25">
      <c r="A38" t="s">
        <v>76</v>
      </c>
      <c r="B38" t="s">
        <v>305</v>
      </c>
      <c r="C38" t="s">
        <v>118</v>
      </c>
      <c r="D38">
        <v>2017</v>
      </c>
      <c r="E38" t="s">
        <v>333</v>
      </c>
      <c r="F38" t="s">
        <v>250</v>
      </c>
      <c r="G38" s="5" t="s">
        <v>131</v>
      </c>
      <c r="H38" s="5" t="s">
        <v>76</v>
      </c>
      <c r="I38" s="5" t="s">
        <v>133</v>
      </c>
      <c r="J38" s="5" t="s">
        <v>133</v>
      </c>
      <c r="K38" s="5" t="s">
        <v>223</v>
      </c>
      <c r="L38" s="6" t="s">
        <v>136</v>
      </c>
      <c r="M38" s="5" t="s">
        <v>249</v>
      </c>
      <c r="N38" s="5" t="s">
        <v>163</v>
      </c>
      <c r="O38" t="s">
        <v>131</v>
      </c>
      <c r="P38" s="5" t="s">
        <v>131</v>
      </c>
      <c r="Q38" s="5" t="s">
        <v>76</v>
      </c>
      <c r="R38" s="5" t="s">
        <v>76</v>
      </c>
      <c r="S38" s="5" t="s">
        <v>133</v>
      </c>
      <c r="T38" s="5" t="s">
        <v>131</v>
      </c>
      <c r="U38" s="5" t="s">
        <v>131</v>
      </c>
      <c r="V38" s="6" t="s">
        <v>230</v>
      </c>
      <c r="W38" s="5" t="s">
        <v>164</v>
      </c>
      <c r="X38" s="5" t="s">
        <v>399</v>
      </c>
      <c r="Y38" s="5" t="s">
        <v>138</v>
      </c>
      <c r="Z38" t="s">
        <v>196</v>
      </c>
      <c r="AA38" s="6" t="s">
        <v>256</v>
      </c>
      <c r="AB38" s="5" t="s">
        <v>133</v>
      </c>
      <c r="AC38" s="5" t="s">
        <v>131</v>
      </c>
      <c r="AD38" t="s">
        <v>248</v>
      </c>
    </row>
    <row r="39" spans="1:32" x14ac:dyDescent="0.25">
      <c r="A39" t="s">
        <v>76</v>
      </c>
      <c r="B39" t="s">
        <v>8</v>
      </c>
      <c r="C39" t="s">
        <v>7</v>
      </c>
      <c r="D39">
        <v>2017</v>
      </c>
      <c r="E39" t="s">
        <v>331</v>
      </c>
      <c r="F39" t="s">
        <v>326</v>
      </c>
      <c r="G39" s="5" t="s">
        <v>131</v>
      </c>
      <c r="H39" s="5" t="s">
        <v>76</v>
      </c>
      <c r="I39" s="5" t="s">
        <v>131</v>
      </c>
      <c r="J39" s="5" t="s">
        <v>76</v>
      </c>
      <c r="K39" s="5" t="s">
        <v>207</v>
      </c>
      <c r="L39" s="6" t="s">
        <v>136</v>
      </c>
      <c r="M39" s="5" t="s">
        <v>253</v>
      </c>
      <c r="N39" s="5" t="s">
        <v>163</v>
      </c>
      <c r="O39" t="s">
        <v>131</v>
      </c>
      <c r="P39" s="5" t="s">
        <v>131</v>
      </c>
      <c r="Q39" s="5" t="s">
        <v>131</v>
      </c>
      <c r="R39" s="5" t="s">
        <v>133</v>
      </c>
      <c r="S39" s="5" t="s">
        <v>133</v>
      </c>
      <c r="T39" s="5" t="s">
        <v>76</v>
      </c>
      <c r="U39" s="5" t="s">
        <v>131</v>
      </c>
      <c r="V39" s="5" t="s">
        <v>204</v>
      </c>
      <c r="W39" s="5" t="s">
        <v>131</v>
      </c>
      <c r="X39" s="5" t="s">
        <v>251</v>
      </c>
      <c r="Y39" s="5" t="s">
        <v>145</v>
      </c>
      <c r="Z39" s="5" t="s">
        <v>165</v>
      </c>
      <c r="AA39" s="6" t="s">
        <v>217</v>
      </c>
      <c r="AB39" s="5" t="s">
        <v>76</v>
      </c>
      <c r="AC39" s="5" t="s">
        <v>254</v>
      </c>
      <c r="AD39" s="5" t="s">
        <v>252</v>
      </c>
    </row>
    <row r="40" spans="1:32" x14ac:dyDescent="0.25">
      <c r="A40" t="s">
        <v>76</v>
      </c>
      <c r="B40" s="10" t="s">
        <v>389</v>
      </c>
      <c r="C40" t="s">
        <v>388</v>
      </c>
      <c r="D40">
        <v>2017</v>
      </c>
      <c r="E40" t="s">
        <v>157</v>
      </c>
      <c r="F40" t="s">
        <v>157</v>
      </c>
      <c r="G40" s="5" t="s">
        <v>131</v>
      </c>
      <c r="H40" s="5" t="s">
        <v>76</v>
      </c>
      <c r="I40" s="5" t="s">
        <v>76</v>
      </c>
      <c r="J40" s="5" t="s">
        <v>131</v>
      </c>
      <c r="K40" t="s">
        <v>223</v>
      </c>
      <c r="L40" s="6" t="s">
        <v>136</v>
      </c>
      <c r="M40" t="s">
        <v>155</v>
      </c>
      <c r="N40" s="5" t="s">
        <v>163</v>
      </c>
      <c r="O40" t="s">
        <v>393</v>
      </c>
      <c r="P40" s="5" t="s">
        <v>131</v>
      </c>
      <c r="Q40" s="5" t="s">
        <v>131</v>
      </c>
      <c r="R40" s="5" t="s">
        <v>133</v>
      </c>
      <c r="S40" s="5" t="s">
        <v>133</v>
      </c>
      <c r="T40" s="5" t="s">
        <v>131</v>
      </c>
      <c r="U40" s="5" t="s">
        <v>131</v>
      </c>
      <c r="V40" s="5" t="s">
        <v>244</v>
      </c>
      <c r="W40" s="5" t="s">
        <v>390</v>
      </c>
      <c r="X40" s="5" t="s">
        <v>177</v>
      </c>
      <c r="Y40" s="5" t="s">
        <v>138</v>
      </c>
      <c r="Z40" s="5" t="s">
        <v>196</v>
      </c>
      <c r="AA40" s="5" t="s">
        <v>131</v>
      </c>
      <c r="AB40" s="5" t="s">
        <v>131</v>
      </c>
      <c r="AC40" s="11" t="s">
        <v>391</v>
      </c>
      <c r="AD40" s="5" t="s">
        <v>392</v>
      </c>
    </row>
    <row r="41" spans="1:32" x14ac:dyDescent="0.25">
      <c r="A41" t="s">
        <v>76</v>
      </c>
      <c r="B41" t="s">
        <v>109</v>
      </c>
      <c r="C41" t="s">
        <v>110</v>
      </c>
      <c r="D41">
        <v>2018</v>
      </c>
      <c r="E41" t="s">
        <v>157</v>
      </c>
      <c r="F41" t="s">
        <v>157</v>
      </c>
      <c r="G41" s="5" t="s">
        <v>131</v>
      </c>
      <c r="H41" s="5" t="s">
        <v>76</v>
      </c>
      <c r="I41" s="5" t="s">
        <v>131</v>
      </c>
      <c r="J41" s="5" t="s">
        <v>76</v>
      </c>
      <c r="K41" s="5" t="s">
        <v>146</v>
      </c>
      <c r="L41" s="6" t="s">
        <v>136</v>
      </c>
      <c r="M41" s="5" t="s">
        <v>178</v>
      </c>
      <c r="N41" t="s">
        <v>163</v>
      </c>
      <c r="O41" s="5" t="s">
        <v>131</v>
      </c>
      <c r="P41" s="5" t="s">
        <v>133</v>
      </c>
      <c r="Q41" s="5" t="s">
        <v>131</v>
      </c>
      <c r="R41" s="5" t="s">
        <v>133</v>
      </c>
      <c r="S41" s="5" t="s">
        <v>131</v>
      </c>
      <c r="T41" s="5" t="s">
        <v>131</v>
      </c>
      <c r="U41" s="5" t="s">
        <v>131</v>
      </c>
      <c r="V41" s="5" t="s">
        <v>204</v>
      </c>
      <c r="W41" s="5" t="s">
        <v>164</v>
      </c>
      <c r="X41" t="s">
        <v>177</v>
      </c>
      <c r="Y41" t="s">
        <v>145</v>
      </c>
      <c r="Z41" t="s">
        <v>170</v>
      </c>
      <c r="AA41" s="5" t="s">
        <v>131</v>
      </c>
      <c r="AB41" s="5" t="s">
        <v>133</v>
      </c>
      <c r="AC41" s="5" t="s">
        <v>131</v>
      </c>
    </row>
    <row r="42" spans="1:32" x14ac:dyDescent="0.25">
      <c r="A42" t="s">
        <v>76</v>
      </c>
      <c r="B42" t="s">
        <v>38</v>
      </c>
      <c r="C42" t="s">
        <v>37</v>
      </c>
      <c r="D42">
        <v>2018</v>
      </c>
      <c r="E42" t="s">
        <v>157</v>
      </c>
      <c r="F42" t="s">
        <v>157</v>
      </c>
      <c r="G42" s="5" t="s">
        <v>131</v>
      </c>
      <c r="H42" s="5" t="s">
        <v>76</v>
      </c>
      <c r="I42" s="5" t="s">
        <v>131</v>
      </c>
      <c r="J42" s="5" t="s">
        <v>76</v>
      </c>
      <c r="K42" s="5" t="s">
        <v>146</v>
      </c>
      <c r="L42" s="6" t="s">
        <v>398</v>
      </c>
      <c r="M42" s="5" t="s">
        <v>225</v>
      </c>
      <c r="N42" s="5" t="s">
        <v>143</v>
      </c>
      <c r="O42" s="5" t="s">
        <v>131</v>
      </c>
      <c r="P42" s="5" t="s">
        <v>76</v>
      </c>
      <c r="Q42" s="5" t="s">
        <v>76</v>
      </c>
      <c r="R42" s="5" t="s">
        <v>76</v>
      </c>
      <c r="S42" s="5" t="s">
        <v>133</v>
      </c>
      <c r="T42" s="5" t="s">
        <v>131</v>
      </c>
      <c r="U42" s="5" t="s">
        <v>133</v>
      </c>
      <c r="V42" t="s">
        <v>193</v>
      </c>
      <c r="W42" s="5" t="s">
        <v>226</v>
      </c>
      <c r="X42" s="5" t="s">
        <v>229</v>
      </c>
      <c r="Y42" s="5" t="s">
        <v>145</v>
      </c>
      <c r="Z42" s="5" t="s">
        <v>159</v>
      </c>
      <c r="AA42" s="5" t="s">
        <v>131</v>
      </c>
      <c r="AB42" s="5" t="s">
        <v>131</v>
      </c>
      <c r="AC42" s="5" t="s">
        <v>131</v>
      </c>
      <c r="AD42" s="5" t="s">
        <v>224</v>
      </c>
    </row>
    <row r="43" spans="1:32" x14ac:dyDescent="0.25">
      <c r="A43" t="s">
        <v>76</v>
      </c>
      <c r="B43" s="9" t="s">
        <v>40</v>
      </c>
      <c r="C43" t="s">
        <v>39</v>
      </c>
      <c r="D43">
        <v>2019</v>
      </c>
      <c r="E43" t="s">
        <v>157</v>
      </c>
      <c r="F43" t="s">
        <v>329</v>
      </c>
      <c r="G43" t="s">
        <v>133</v>
      </c>
      <c r="H43" s="5" t="s">
        <v>133</v>
      </c>
      <c r="I43" t="s">
        <v>76</v>
      </c>
      <c r="J43" t="s">
        <v>131</v>
      </c>
      <c r="K43" t="s">
        <v>153</v>
      </c>
      <c r="L43" s="4" t="s">
        <v>136</v>
      </c>
      <c r="M43" t="s">
        <v>155</v>
      </c>
      <c r="N43" s="6" t="s">
        <v>163</v>
      </c>
      <c r="O43" t="s">
        <v>131</v>
      </c>
      <c r="P43" t="s">
        <v>133</v>
      </c>
      <c r="Q43" t="s">
        <v>76</v>
      </c>
      <c r="R43" t="s">
        <v>76</v>
      </c>
      <c r="S43" t="s">
        <v>76</v>
      </c>
      <c r="T43" t="s">
        <v>133</v>
      </c>
      <c r="U43" t="s">
        <v>131</v>
      </c>
      <c r="V43" t="s">
        <v>144</v>
      </c>
      <c r="W43" t="s">
        <v>181</v>
      </c>
      <c r="X43" t="s">
        <v>154</v>
      </c>
      <c r="Y43" t="s">
        <v>158</v>
      </c>
      <c r="Z43" t="s">
        <v>170</v>
      </c>
      <c r="AA43" t="s">
        <v>131</v>
      </c>
      <c r="AB43" t="s">
        <v>76</v>
      </c>
      <c r="AC43" t="s">
        <v>131</v>
      </c>
      <c r="AD43" t="s">
        <v>156</v>
      </c>
    </row>
    <row r="44" spans="1:32" x14ac:dyDescent="0.25">
      <c r="A44" t="s">
        <v>76</v>
      </c>
      <c r="B44" t="s">
        <v>54</v>
      </c>
      <c r="C44" t="s">
        <v>53</v>
      </c>
      <c r="D44">
        <v>2019</v>
      </c>
      <c r="E44" t="s">
        <v>157</v>
      </c>
      <c r="F44" t="s">
        <v>157</v>
      </c>
      <c r="G44" s="5" t="s">
        <v>131</v>
      </c>
      <c r="H44" s="5" t="s">
        <v>76</v>
      </c>
      <c r="I44" s="5" t="s">
        <v>131</v>
      </c>
      <c r="J44" s="5" t="s">
        <v>76</v>
      </c>
      <c r="K44" s="5" t="s">
        <v>146</v>
      </c>
      <c r="L44" s="6" t="s">
        <v>136</v>
      </c>
      <c r="M44" s="5" t="s">
        <v>225</v>
      </c>
      <c r="N44" s="5" t="s">
        <v>143</v>
      </c>
      <c r="O44" s="5" t="s">
        <v>131</v>
      </c>
      <c r="P44" s="5" t="s">
        <v>76</v>
      </c>
      <c r="Q44" s="5" t="s">
        <v>76</v>
      </c>
      <c r="R44" s="5" t="s">
        <v>76</v>
      </c>
      <c r="S44" s="5" t="s">
        <v>76</v>
      </c>
      <c r="T44" s="5" t="s">
        <v>131</v>
      </c>
      <c r="U44" s="5" t="s">
        <v>133</v>
      </c>
      <c r="V44" t="s">
        <v>193</v>
      </c>
      <c r="W44" t="s">
        <v>226</v>
      </c>
      <c r="X44" s="5" t="s">
        <v>229</v>
      </c>
      <c r="Y44" s="5" t="s">
        <v>145</v>
      </c>
      <c r="Z44" s="5" t="s">
        <v>196</v>
      </c>
      <c r="AA44" s="5" t="s">
        <v>217</v>
      </c>
      <c r="AB44" s="5" t="s">
        <v>131</v>
      </c>
      <c r="AC44" s="5" t="s">
        <v>227</v>
      </c>
      <c r="AD44" s="5" t="s">
        <v>228</v>
      </c>
    </row>
    <row r="45" spans="1:32" x14ac:dyDescent="0.25">
      <c r="A45" t="s">
        <v>76</v>
      </c>
      <c r="B45" s="8" t="s">
        <v>84</v>
      </c>
      <c r="C45" t="s">
        <v>83</v>
      </c>
      <c r="D45">
        <v>2019</v>
      </c>
      <c r="E45" t="s">
        <v>212</v>
      </c>
      <c r="F45" t="s">
        <v>212</v>
      </c>
      <c r="G45" s="5" t="s">
        <v>76</v>
      </c>
      <c r="H45" s="5" t="s">
        <v>131</v>
      </c>
      <c r="I45" s="5" t="s">
        <v>131</v>
      </c>
      <c r="J45" s="5" t="s">
        <v>76</v>
      </c>
      <c r="K45" s="5" t="s">
        <v>146</v>
      </c>
      <c r="L45" s="6" t="s">
        <v>136</v>
      </c>
      <c r="M45" t="s">
        <v>273</v>
      </c>
      <c r="N45" s="5" t="s">
        <v>143</v>
      </c>
      <c r="O45" t="s">
        <v>272</v>
      </c>
      <c r="P45" s="5" t="s">
        <v>133</v>
      </c>
      <c r="Q45" s="5" t="s">
        <v>76</v>
      </c>
      <c r="R45" s="5" t="s">
        <v>131</v>
      </c>
      <c r="S45" s="5" t="s">
        <v>133</v>
      </c>
      <c r="T45" s="5" t="s">
        <v>131</v>
      </c>
      <c r="U45" s="5" t="s">
        <v>133</v>
      </c>
      <c r="V45" t="s">
        <v>244</v>
      </c>
      <c r="W45" s="5" t="s">
        <v>274</v>
      </c>
      <c r="X45" s="5" t="s">
        <v>131</v>
      </c>
      <c r="Y45" s="5" t="s">
        <v>145</v>
      </c>
      <c r="Z45" t="s">
        <v>165</v>
      </c>
      <c r="AA45" s="6" t="s">
        <v>217</v>
      </c>
      <c r="AB45" s="5" t="s">
        <v>131</v>
      </c>
      <c r="AC45" s="5" t="s">
        <v>131</v>
      </c>
      <c r="AD45" s="5" t="s">
        <v>275</v>
      </c>
    </row>
    <row r="46" spans="1:32" x14ac:dyDescent="0.25">
      <c r="A46" t="s">
        <v>76</v>
      </c>
      <c r="B46" t="s">
        <v>298</v>
      </c>
      <c r="C46" t="s">
        <v>297</v>
      </c>
      <c r="D46">
        <v>2019</v>
      </c>
      <c r="E46" t="s">
        <v>331</v>
      </c>
      <c r="F46" t="s">
        <v>306</v>
      </c>
      <c r="G46" s="5" t="s">
        <v>76</v>
      </c>
      <c r="H46" s="5" t="s">
        <v>131</v>
      </c>
      <c r="I46" s="5" t="s">
        <v>131</v>
      </c>
      <c r="J46" s="5" t="s">
        <v>76</v>
      </c>
      <c r="K46" t="s">
        <v>139</v>
      </c>
      <c r="L46" s="6" t="s">
        <v>136</v>
      </c>
      <c r="M46" t="s">
        <v>240</v>
      </c>
      <c r="N46" s="5" t="s">
        <v>163</v>
      </c>
      <c r="O46" t="s">
        <v>131</v>
      </c>
      <c r="P46" s="5" t="s">
        <v>131</v>
      </c>
      <c r="Q46" s="5" t="s">
        <v>133</v>
      </c>
      <c r="R46" s="5" t="s">
        <v>76</v>
      </c>
      <c r="S46" s="5" t="s">
        <v>76</v>
      </c>
      <c r="T46" s="5" t="s">
        <v>131</v>
      </c>
      <c r="U46" s="5" t="s">
        <v>131</v>
      </c>
      <c r="V46" t="s">
        <v>244</v>
      </c>
      <c r="W46" s="5" t="s">
        <v>358</v>
      </c>
      <c r="X46" s="5" t="s">
        <v>312</v>
      </c>
      <c r="Y46" s="5" t="s">
        <v>145</v>
      </c>
      <c r="Z46" t="s">
        <v>261</v>
      </c>
      <c r="AA46" s="5" t="s">
        <v>217</v>
      </c>
      <c r="AB46" s="5" t="s">
        <v>76</v>
      </c>
      <c r="AC46" s="5" t="s">
        <v>308</v>
      </c>
      <c r="AD46" s="5" t="s">
        <v>307</v>
      </c>
      <c r="AE46" s="8" t="s">
        <v>309</v>
      </c>
    </row>
    <row r="47" spans="1:32" x14ac:dyDescent="0.25">
      <c r="A47" t="s">
        <v>76</v>
      </c>
      <c r="B47" t="s">
        <v>34</v>
      </c>
      <c r="C47" t="s">
        <v>33</v>
      </c>
      <c r="D47">
        <v>2020</v>
      </c>
      <c r="E47" t="s">
        <v>321</v>
      </c>
      <c r="F47" t="s">
        <v>321</v>
      </c>
      <c r="G47" t="s">
        <v>131</v>
      </c>
      <c r="H47" s="5" t="s">
        <v>76</v>
      </c>
      <c r="I47" t="s">
        <v>131</v>
      </c>
      <c r="J47" t="s">
        <v>76</v>
      </c>
      <c r="K47" t="s">
        <v>153</v>
      </c>
      <c r="L47" s="4" t="s">
        <v>162</v>
      </c>
      <c r="M47" t="s">
        <v>161</v>
      </c>
      <c r="N47" s="6" t="s">
        <v>163</v>
      </c>
      <c r="O47" t="s">
        <v>131</v>
      </c>
      <c r="P47" t="s">
        <v>131</v>
      </c>
      <c r="Q47" t="s">
        <v>131</v>
      </c>
      <c r="R47" t="s">
        <v>133</v>
      </c>
      <c r="S47" t="s">
        <v>133</v>
      </c>
      <c r="T47" t="s">
        <v>131</v>
      </c>
      <c r="U47" t="s">
        <v>131</v>
      </c>
      <c r="V47" s="6" t="s">
        <v>244</v>
      </c>
      <c r="W47" t="s">
        <v>360</v>
      </c>
      <c r="X47" t="s">
        <v>131</v>
      </c>
      <c r="Y47" t="s">
        <v>145</v>
      </c>
      <c r="Z47" t="s">
        <v>159</v>
      </c>
      <c r="AA47" s="5" t="s">
        <v>131</v>
      </c>
      <c r="AB47" t="s">
        <v>133</v>
      </c>
      <c r="AC47" t="s">
        <v>160</v>
      </c>
    </row>
    <row r="48" spans="1:32" x14ac:dyDescent="0.25">
      <c r="A48" t="s">
        <v>76</v>
      </c>
      <c r="B48" t="s">
        <v>50</v>
      </c>
      <c r="C48" t="s">
        <v>49</v>
      </c>
      <c r="D48">
        <v>2020</v>
      </c>
      <c r="E48" t="s">
        <v>157</v>
      </c>
      <c r="F48" t="s">
        <v>157</v>
      </c>
      <c r="G48" s="5" t="s">
        <v>131</v>
      </c>
      <c r="H48" s="5" t="s">
        <v>76</v>
      </c>
      <c r="I48" s="5" t="s">
        <v>131</v>
      </c>
      <c r="J48" s="5" t="s">
        <v>76</v>
      </c>
      <c r="K48" s="5" t="s">
        <v>223</v>
      </c>
      <c r="L48" t="s">
        <v>131</v>
      </c>
      <c r="M48" t="s">
        <v>131</v>
      </c>
      <c r="N48" s="6" t="s">
        <v>143</v>
      </c>
      <c r="O48" t="s">
        <v>131</v>
      </c>
      <c r="P48" s="5" t="s">
        <v>131</v>
      </c>
      <c r="Q48" s="5" t="s">
        <v>131</v>
      </c>
      <c r="R48" s="5" t="s">
        <v>133</v>
      </c>
      <c r="S48" s="5" t="s">
        <v>133</v>
      </c>
      <c r="T48" s="5" t="s">
        <v>133</v>
      </c>
      <c r="U48" s="5" t="s">
        <v>131</v>
      </c>
      <c r="V48" s="5" t="s">
        <v>182</v>
      </c>
      <c r="W48" s="5" t="s">
        <v>131</v>
      </c>
      <c r="X48" s="5" t="s">
        <v>276</v>
      </c>
      <c r="Y48" s="5" t="s">
        <v>145</v>
      </c>
      <c r="Z48" t="s">
        <v>159</v>
      </c>
      <c r="AA48" s="5" t="s">
        <v>131</v>
      </c>
      <c r="AB48" s="5" t="s">
        <v>133</v>
      </c>
      <c r="AC48" t="s">
        <v>160</v>
      </c>
      <c r="AD48" t="s">
        <v>277</v>
      </c>
      <c r="AF48" t="s">
        <v>315</v>
      </c>
    </row>
    <row r="49" spans="1:33" x14ac:dyDescent="0.25">
      <c r="A49" t="s">
        <v>76</v>
      </c>
      <c r="B49" t="s">
        <v>300</v>
      </c>
      <c r="C49" t="s">
        <v>299</v>
      </c>
      <c r="D49">
        <v>2020</v>
      </c>
      <c r="E49" t="s">
        <v>212</v>
      </c>
      <c r="F49" t="s">
        <v>212</v>
      </c>
      <c r="G49" s="5" t="s">
        <v>76</v>
      </c>
      <c r="H49" s="5" t="s">
        <v>131</v>
      </c>
      <c r="I49" s="5" t="s">
        <v>131</v>
      </c>
      <c r="J49" s="5" t="s">
        <v>76</v>
      </c>
      <c r="K49" t="s">
        <v>139</v>
      </c>
      <c r="L49" s="6" t="s">
        <v>136</v>
      </c>
      <c r="M49" t="s">
        <v>310</v>
      </c>
      <c r="N49" s="5" t="s">
        <v>163</v>
      </c>
      <c r="O49" t="s">
        <v>131</v>
      </c>
      <c r="P49" s="5" t="s">
        <v>76</v>
      </c>
      <c r="Q49" s="5" t="s">
        <v>76</v>
      </c>
      <c r="R49" s="5" t="s">
        <v>133</v>
      </c>
      <c r="S49" s="5" t="s">
        <v>133</v>
      </c>
      <c r="T49" s="5" t="s">
        <v>133</v>
      </c>
      <c r="U49" s="5" t="s">
        <v>133</v>
      </c>
      <c r="V49" t="s">
        <v>244</v>
      </c>
      <c r="W49" s="5" t="s">
        <v>314</v>
      </c>
      <c r="X49" s="5" t="s">
        <v>313</v>
      </c>
      <c r="Y49" s="5" t="s">
        <v>145</v>
      </c>
      <c r="Z49" t="s">
        <v>261</v>
      </c>
      <c r="AA49" s="5" t="s">
        <v>217</v>
      </c>
      <c r="AB49" s="5" t="s">
        <v>131</v>
      </c>
      <c r="AC49" t="s">
        <v>311</v>
      </c>
      <c r="AD49" s="8" t="s">
        <v>287</v>
      </c>
    </row>
    <row r="50" spans="1:33" x14ac:dyDescent="0.25">
      <c r="A50" t="s">
        <v>76</v>
      </c>
      <c r="B50" s="8" t="s">
        <v>10</v>
      </c>
      <c r="C50" t="s">
        <v>9</v>
      </c>
      <c r="D50">
        <v>2021</v>
      </c>
      <c r="E50" t="s">
        <v>212</v>
      </c>
      <c r="F50" t="s">
        <v>212</v>
      </c>
      <c r="G50" s="5" t="s">
        <v>76</v>
      </c>
      <c r="H50" s="5" t="s">
        <v>131</v>
      </c>
      <c r="I50" s="5" t="s">
        <v>131</v>
      </c>
      <c r="J50" s="5" t="s">
        <v>76</v>
      </c>
      <c r="K50" s="5" t="s">
        <v>139</v>
      </c>
      <c r="L50" s="6" t="s">
        <v>136</v>
      </c>
      <c r="M50" t="s">
        <v>288</v>
      </c>
      <c r="N50" s="5" t="s">
        <v>163</v>
      </c>
      <c r="O50" t="s">
        <v>286</v>
      </c>
      <c r="P50" s="5" t="s">
        <v>76</v>
      </c>
      <c r="Q50" s="5" t="s">
        <v>76</v>
      </c>
      <c r="R50" s="5" t="s">
        <v>76</v>
      </c>
      <c r="S50" s="5" t="s">
        <v>76</v>
      </c>
      <c r="T50" s="5" t="s">
        <v>133</v>
      </c>
      <c r="U50" s="5" t="s">
        <v>76</v>
      </c>
      <c r="V50" s="6" t="s">
        <v>230</v>
      </c>
      <c r="W50" s="5" t="s">
        <v>289</v>
      </c>
      <c r="X50" s="5" t="s">
        <v>290</v>
      </c>
      <c r="Y50" s="5" t="s">
        <v>138</v>
      </c>
      <c r="Z50" t="s">
        <v>270</v>
      </c>
      <c r="AA50" s="6" t="s">
        <v>217</v>
      </c>
      <c r="AB50" s="5" t="s">
        <v>131</v>
      </c>
      <c r="AC50" s="5" t="s">
        <v>308</v>
      </c>
      <c r="AD50" s="8" t="s">
        <v>296</v>
      </c>
      <c r="AE50" s="8" t="s">
        <v>287</v>
      </c>
    </row>
    <row r="51" spans="1:33" x14ac:dyDescent="0.25">
      <c r="A51" t="s">
        <v>76</v>
      </c>
      <c r="B51" t="s">
        <v>60</v>
      </c>
      <c r="C51" t="s">
        <v>59</v>
      </c>
      <c r="D51">
        <v>2021</v>
      </c>
      <c r="E51" t="s">
        <v>157</v>
      </c>
      <c r="F51" t="s">
        <v>157</v>
      </c>
      <c r="G51" s="5" t="s">
        <v>131</v>
      </c>
      <c r="H51" s="5" t="s">
        <v>76</v>
      </c>
      <c r="I51" s="5" t="s">
        <v>131</v>
      </c>
      <c r="J51" s="5" t="s">
        <v>76</v>
      </c>
      <c r="K51" t="s">
        <v>207</v>
      </c>
      <c r="L51" s="6" t="s">
        <v>136</v>
      </c>
      <c r="M51" t="s">
        <v>249</v>
      </c>
      <c r="N51" s="5" t="s">
        <v>163</v>
      </c>
      <c r="O51" t="s">
        <v>131</v>
      </c>
      <c r="P51" s="5" t="s">
        <v>131</v>
      </c>
      <c r="Q51" s="5" t="s">
        <v>131</v>
      </c>
      <c r="R51" s="5" t="s">
        <v>131</v>
      </c>
      <c r="S51" s="5" t="s">
        <v>133</v>
      </c>
      <c r="T51" s="5" t="s">
        <v>76</v>
      </c>
      <c r="U51" s="5" t="s">
        <v>131</v>
      </c>
      <c r="V51" s="6" t="s">
        <v>230</v>
      </c>
      <c r="W51" s="5" t="s">
        <v>131</v>
      </c>
      <c r="X51" s="5" t="s">
        <v>131</v>
      </c>
      <c r="Y51" s="5" t="s">
        <v>145</v>
      </c>
      <c r="Z51" t="s">
        <v>159</v>
      </c>
      <c r="AA51" s="5" t="s">
        <v>131</v>
      </c>
      <c r="AB51" s="5" t="s">
        <v>76</v>
      </c>
      <c r="AC51" s="5" t="s">
        <v>131</v>
      </c>
      <c r="AD51" s="5" t="s">
        <v>295</v>
      </c>
    </row>
    <row r="53" spans="1:33" x14ac:dyDescent="0.25">
      <c r="A53" s="1" t="s">
        <v>334</v>
      </c>
      <c r="D53" s="1" t="s">
        <v>63</v>
      </c>
      <c r="G53" s="1" t="s">
        <v>61</v>
      </c>
      <c r="J53" s="1" t="s">
        <v>74</v>
      </c>
      <c r="M53" s="1" t="s">
        <v>361</v>
      </c>
      <c r="P53" s="1" t="s">
        <v>69</v>
      </c>
      <c r="S53" s="1" t="s">
        <v>72</v>
      </c>
      <c r="V53" s="1" t="s">
        <v>127</v>
      </c>
      <c r="Y53" s="1" t="s">
        <v>394</v>
      </c>
      <c r="AB53" s="1" t="s">
        <v>104</v>
      </c>
      <c r="AE53" s="1" t="s">
        <v>67</v>
      </c>
    </row>
    <row r="54" spans="1:33" x14ac:dyDescent="0.25">
      <c r="A54">
        <v>2013</v>
      </c>
      <c r="B54">
        <f>COUNTIF($D$2:$D$51,"2013")</f>
        <v>3</v>
      </c>
      <c r="D54" t="s">
        <v>331</v>
      </c>
      <c r="E54">
        <f>COUNTIF($E$2:$E$51,"*Administration and Management*")</f>
        <v>5</v>
      </c>
      <c r="G54" t="s">
        <v>131</v>
      </c>
      <c r="H54">
        <f>COUNTIF($G$2:$G$51,"-")</f>
        <v>37</v>
      </c>
      <c r="J54" t="s">
        <v>336</v>
      </c>
      <c r="K54">
        <f>COUNTIF($K$2:$K$51,"cloud")</f>
        <v>8</v>
      </c>
      <c r="M54" t="s">
        <v>379</v>
      </c>
      <c r="N54">
        <f>COUNTIF($M$2:$M$51,"*code*")</f>
        <v>14</v>
      </c>
      <c r="P54" t="s">
        <v>131</v>
      </c>
      <c r="Q54">
        <f>COUNTIF($P$2:$P$51,"-")</f>
        <v>35</v>
      </c>
      <c r="S54" t="s">
        <v>131</v>
      </c>
      <c r="T54">
        <f>COUNTIF($S$2:$S$51,"-")</f>
        <v>14</v>
      </c>
      <c r="V54" t="s">
        <v>347</v>
      </c>
      <c r="W54">
        <f>COUNTIF($V$2:$V$51,"*non-functional requirement*")</f>
        <v>7</v>
      </c>
      <c r="Y54" t="s">
        <v>177</v>
      </c>
      <c r="Z54">
        <f>COUNTIF($X$2:$X$51,"*encryption*")</f>
        <v>19</v>
      </c>
      <c r="AB54" t="s">
        <v>145</v>
      </c>
      <c r="AC54">
        <f>COUNTIF($Y$2:$Y$51,"software")</f>
        <v>31</v>
      </c>
      <c r="AE54" t="s">
        <v>131</v>
      </c>
      <c r="AF54">
        <f>COUNTIF($AB$2:$AB$51,"-")</f>
        <v>24</v>
      </c>
    </row>
    <row r="55" spans="1:33" x14ac:dyDescent="0.25">
      <c r="A55">
        <v>2014</v>
      </c>
      <c r="B55">
        <f>COUNTIF($D$2:$D$51,"2014")</f>
        <v>7</v>
      </c>
      <c r="D55" t="s">
        <v>212</v>
      </c>
      <c r="E55">
        <f>COUNTIF($E$2:$E$51,"*Production*")</f>
        <v>8</v>
      </c>
      <c r="G55" t="s">
        <v>133</v>
      </c>
      <c r="H55">
        <f>COUNTIF($G$2:$G$51,"+")</f>
        <v>3</v>
      </c>
      <c r="J55" t="s">
        <v>337</v>
      </c>
      <c r="K55">
        <f>COUNTIF($K$2:$K$51,"*database*")</f>
        <v>31</v>
      </c>
      <c r="M55" t="s">
        <v>380</v>
      </c>
      <c r="N55">
        <v>5</v>
      </c>
      <c r="P55" t="s">
        <v>133</v>
      </c>
      <c r="Q55">
        <f>COUNTIF($P$2:$P$51,"+")</f>
        <v>9</v>
      </c>
      <c r="S55" t="s">
        <v>133</v>
      </c>
      <c r="T55">
        <f>COUNTIF($S$2:$S$51,"+")</f>
        <v>22</v>
      </c>
      <c r="V55" t="s">
        <v>204</v>
      </c>
      <c r="W55">
        <f>COUNTIF($V$2:$V$51,"*quality*")</f>
        <v>7</v>
      </c>
      <c r="Y55" t="s">
        <v>362</v>
      </c>
      <c r="Z55">
        <f>COUNTIF($X$2:$X$51,"*signature*")</f>
        <v>2</v>
      </c>
      <c r="AB55" t="s">
        <v>158</v>
      </c>
      <c r="AC55">
        <f>COUNTIF($Y$2:$Y$51,"storage")</f>
        <v>8</v>
      </c>
      <c r="AE55" t="s">
        <v>133</v>
      </c>
      <c r="AF55">
        <f>COUNTIF($AB$2:$AB$51,"+")</f>
        <v>11</v>
      </c>
    </row>
    <row r="56" spans="1:33" x14ac:dyDescent="0.25">
      <c r="A56">
        <v>2015</v>
      </c>
      <c r="B56">
        <f>COUNTIF($D$2:$D$51,"2015")</f>
        <v>12</v>
      </c>
      <c r="D56" t="s">
        <v>321</v>
      </c>
      <c r="E56">
        <f>COUNTIF($E$2:$E$51,"*Retail*")</f>
        <v>4</v>
      </c>
      <c r="G56" t="s">
        <v>76</v>
      </c>
      <c r="H56">
        <f>COUNTIF($G$2:$G$51,"x")</f>
        <v>10</v>
      </c>
      <c r="J56" t="s">
        <v>339</v>
      </c>
      <c r="K56">
        <f>COUNTIF($K$2:$K$51,"*SaaS*")</f>
        <v>25</v>
      </c>
      <c r="M56" t="s">
        <v>178</v>
      </c>
      <c r="N56">
        <f>COUNTIF($M$2:$M$51,"*feature model*")</f>
        <v>7</v>
      </c>
      <c r="P56" t="s">
        <v>76</v>
      </c>
      <c r="Q56">
        <f>COUNTIF($P$2:$P$51,"x")</f>
        <v>6</v>
      </c>
      <c r="S56" t="s">
        <v>76</v>
      </c>
      <c r="T56">
        <f>COUNTIF($S$2:$S$51,"x")</f>
        <v>14</v>
      </c>
      <c r="V56" t="s">
        <v>230</v>
      </c>
      <c r="W56">
        <f>COUNTIF($V$2:$V$51,"*system goal*")</f>
        <v>18</v>
      </c>
      <c r="Y56" t="s">
        <v>183</v>
      </c>
      <c r="Z56">
        <f>COUNTIF($X$2:$X$51,"*access*")</f>
        <v>18</v>
      </c>
      <c r="AB56" t="s">
        <v>138</v>
      </c>
      <c r="AC56">
        <f>COUNTIF($Y$2:$Y$51,"*software, storage*")</f>
        <v>11</v>
      </c>
      <c r="AE56" t="s">
        <v>76</v>
      </c>
      <c r="AF56">
        <f>COUNTIF($AB$2:$AB$51,"x")</f>
        <v>15</v>
      </c>
    </row>
    <row r="57" spans="1:33" x14ac:dyDescent="0.25">
      <c r="A57">
        <v>2016</v>
      </c>
      <c r="B57">
        <f>COUNTIF($D$2:$D$51,"2016")</f>
        <v>11</v>
      </c>
      <c r="D57" t="s">
        <v>333</v>
      </c>
      <c r="E57">
        <f>COUNTIF($E$2:$E$51,"*Webapplication*")</f>
        <v>4</v>
      </c>
      <c r="J57" t="s">
        <v>338</v>
      </c>
      <c r="K57">
        <f>COUNTIF($K$2:$K$51,"*cloud, database*")</f>
        <v>17</v>
      </c>
      <c r="M57" t="s">
        <v>268</v>
      </c>
      <c r="N57">
        <f>COUNTIF($M$2:$M$51,"*variability model*")</f>
        <v>3</v>
      </c>
      <c r="V57" t="s">
        <v>244</v>
      </c>
      <c r="W57">
        <f>COUNTIF($V$2:$V$51,"*system requirement*")</f>
        <v>7</v>
      </c>
      <c r="Y57" t="s">
        <v>363</v>
      </c>
      <c r="Z57">
        <f>COUNTIF($X$2:$X$51,"*isolation*")</f>
        <v>8</v>
      </c>
    </row>
    <row r="58" spans="1:33" x14ac:dyDescent="0.25">
      <c r="A58">
        <v>2017</v>
      </c>
      <c r="B58">
        <f>COUNTIF($D$2:$D$51,"2017")</f>
        <v>6</v>
      </c>
      <c r="D58" t="s">
        <v>265</v>
      </c>
      <c r="E58">
        <f>COUNTIF($E$2:$E$51,"*Pay*")</f>
        <v>2</v>
      </c>
      <c r="G58" s="1" t="s">
        <v>62</v>
      </c>
      <c r="J58" t="s">
        <v>341</v>
      </c>
      <c r="K58">
        <f>COUNTIF($K$2:$K$51,"*fog, database*")</f>
        <v>1</v>
      </c>
      <c r="M58" t="s">
        <v>385</v>
      </c>
      <c r="N58">
        <f>COUNTIF($M$2:$M$51,"*variant*")</f>
        <v>2</v>
      </c>
      <c r="P58" s="1" t="s">
        <v>70</v>
      </c>
      <c r="S58" s="1" t="s">
        <v>73</v>
      </c>
      <c r="V58" t="s">
        <v>193</v>
      </c>
      <c r="W58">
        <f>COUNTIF($V$2:$V$51,"*security goal*")</f>
        <v>6</v>
      </c>
      <c r="Y58" t="s">
        <v>364</v>
      </c>
      <c r="Z58">
        <f>COUNTIF($X$2:$X$51,"*varia*")</f>
        <v>1</v>
      </c>
      <c r="AB58" s="1" t="s">
        <v>375</v>
      </c>
      <c r="AE58" s="1" t="s">
        <v>68</v>
      </c>
    </row>
    <row r="59" spans="1:33" x14ac:dyDescent="0.25">
      <c r="A59">
        <v>2018</v>
      </c>
      <c r="B59">
        <f>COUNTIF($D$2:$D$51,"2018")</f>
        <v>2</v>
      </c>
      <c r="D59" t="s">
        <v>157</v>
      </c>
      <c r="E59">
        <f>COUNTIF($E$2:$E$51,"*unspecificed*")</f>
        <v>22</v>
      </c>
      <c r="G59" t="s">
        <v>131</v>
      </c>
      <c r="H59">
        <f>COUNTIF($H$2:$H$51,"-")</f>
        <v>10</v>
      </c>
      <c r="J59" t="s">
        <v>340</v>
      </c>
      <c r="K59">
        <f>COUNTIF($K$2:$K$51,"*cloud, database, SaaS*")</f>
        <v>13</v>
      </c>
      <c r="M59" t="s">
        <v>382</v>
      </c>
      <c r="N59">
        <v>1</v>
      </c>
      <c r="P59" t="s">
        <v>131</v>
      </c>
      <c r="Q59">
        <f>COUNTIF($Q$2:$Q$51,"-")</f>
        <v>36</v>
      </c>
      <c r="S59" t="s">
        <v>131</v>
      </c>
      <c r="T59">
        <f>COUNTIF($T$2:$T$51,"-")</f>
        <v>33</v>
      </c>
      <c r="V59" s="5" t="s">
        <v>247</v>
      </c>
      <c r="W59">
        <f>COUNTIF($V$2:$V$51,"*system feature*")</f>
        <v>4</v>
      </c>
      <c r="Y59" s="5" t="s">
        <v>276</v>
      </c>
      <c r="Z59">
        <f>COUNTIF($X$2:$X$51,"*firewall*")</f>
        <v>4</v>
      </c>
      <c r="AB59" t="s">
        <v>159</v>
      </c>
      <c r="AC59">
        <f>COUNTIF($Z$2:$Z$51,"problem-space")</f>
        <v>6</v>
      </c>
      <c r="AE59" t="s">
        <v>292</v>
      </c>
      <c r="AF59">
        <f>COUNTIF($AC$2:$AC$51,"*IDE*")</f>
        <v>7</v>
      </c>
      <c r="AG59">
        <v>5</v>
      </c>
    </row>
    <row r="60" spans="1:33" x14ac:dyDescent="0.25">
      <c r="A60">
        <v>2019</v>
      </c>
      <c r="B60">
        <f>COUNTIF($D$2:$D$51,"2019")</f>
        <v>4</v>
      </c>
      <c r="D60" t="s">
        <v>332</v>
      </c>
      <c r="E60">
        <f>COUNTIF($E$2:$E$51,"*Other*")</f>
        <v>5</v>
      </c>
      <c r="G60" t="s">
        <v>133</v>
      </c>
      <c r="H60">
        <f>COUNTIF($H$2:$H$51,"+")</f>
        <v>3</v>
      </c>
      <c r="M60" t="s">
        <v>257</v>
      </c>
      <c r="N60">
        <f>COUNTIF($M$2:$M$51,"*plug*")</f>
        <v>1</v>
      </c>
      <c r="P60" t="s">
        <v>133</v>
      </c>
      <c r="Q60">
        <f>COUNTIF($Q$2:$Q$51,"+")</f>
        <v>3</v>
      </c>
      <c r="S60" t="s">
        <v>133</v>
      </c>
      <c r="T60">
        <f>COUNTIF($T$2:$T$51,"+")</f>
        <v>11</v>
      </c>
      <c r="V60" s="5" t="s">
        <v>349</v>
      </c>
      <c r="W60">
        <v>20</v>
      </c>
      <c r="Y60" s="5" t="s">
        <v>365</v>
      </c>
      <c r="Z60">
        <f>COUNTIF($X$2:$X$51,"*misuse*")</f>
        <v>2</v>
      </c>
      <c r="AB60" t="s">
        <v>270</v>
      </c>
      <c r="AC60">
        <f>COUNTIF($Z$2:$Z$51,"mapping")</f>
        <v>2</v>
      </c>
      <c r="AE60" t="s">
        <v>320</v>
      </c>
      <c r="AF60">
        <f>COUNTIF($AC$2:$AC$51,"pure*")</f>
        <v>1</v>
      </c>
    </row>
    <row r="61" spans="1:33" x14ac:dyDescent="0.25">
      <c r="A61">
        <v>2020</v>
      </c>
      <c r="B61">
        <f>COUNTIF($D$2:$D$51,"2020")</f>
        <v>3</v>
      </c>
      <c r="G61" t="s">
        <v>76</v>
      </c>
      <c r="H61">
        <f>COUNTIF($H$2:$H$51,"x")</f>
        <v>37</v>
      </c>
      <c r="J61" s="1" t="s">
        <v>123</v>
      </c>
      <c r="M61" t="s">
        <v>249</v>
      </c>
      <c r="N61">
        <f>COUNTIF($M$2:$M$51,"*user*")</f>
        <v>5</v>
      </c>
      <c r="P61" t="s">
        <v>76</v>
      </c>
      <c r="Q61">
        <f>COUNTIF($Q$2:$Q$51,"x")</f>
        <v>10</v>
      </c>
      <c r="S61" t="s">
        <v>76</v>
      </c>
      <c r="T61">
        <f>COUNTIF($T$2:$T$51,"x")</f>
        <v>6</v>
      </c>
      <c r="Y61" s="5" t="s">
        <v>367</v>
      </c>
      <c r="Z61">
        <f>COUNTIF($X$2:$X$51,"*model*")</f>
        <v>1</v>
      </c>
      <c r="AB61" t="s">
        <v>165</v>
      </c>
      <c r="AC61">
        <f>COUNTIF($Z$2:$Z$51,"solution-space")</f>
        <v>16</v>
      </c>
      <c r="AE61" t="s">
        <v>238</v>
      </c>
      <c r="AF61">
        <f>COUNTIF($AC$2:$AC$51,"*UML*")</f>
        <v>3</v>
      </c>
    </row>
    <row r="62" spans="1:33" x14ac:dyDescent="0.25">
      <c r="A62">
        <v>2021</v>
      </c>
      <c r="B62">
        <f>COUNTIF($D$2:$D$51,"2021")</f>
        <v>2</v>
      </c>
      <c r="J62" t="s">
        <v>136</v>
      </c>
      <c r="K62">
        <f>COUNTIF($L$2:$L$51,"*centralized*")</f>
        <v>44</v>
      </c>
      <c r="M62" t="s">
        <v>384</v>
      </c>
      <c r="N62">
        <f>COUNTIF($M$2:$M$51,"*meta*")</f>
        <v>3</v>
      </c>
      <c r="V62" s="1" t="s">
        <v>128</v>
      </c>
      <c r="Y62" s="5" t="s">
        <v>371</v>
      </c>
      <c r="Z62">
        <v>7</v>
      </c>
      <c r="AB62" t="s">
        <v>196</v>
      </c>
      <c r="AC62">
        <f>COUNTIF($Z$2:$Z$51,"*mapping, solution-space*")</f>
        <v>20</v>
      </c>
      <c r="AE62" t="s">
        <v>378</v>
      </c>
      <c r="AF62">
        <v>5</v>
      </c>
    </row>
    <row r="63" spans="1:33" x14ac:dyDescent="0.25">
      <c r="G63" s="1" t="s">
        <v>335</v>
      </c>
      <c r="J63" t="s">
        <v>281</v>
      </c>
      <c r="K63">
        <f>COUNTIF($L$2:$L$51,"*distributed*")</f>
        <v>14</v>
      </c>
      <c r="M63" t="s">
        <v>383</v>
      </c>
      <c r="N63">
        <v>14</v>
      </c>
      <c r="P63" s="1" t="s">
        <v>71</v>
      </c>
      <c r="S63" s="1" t="s">
        <v>126</v>
      </c>
      <c r="V63" t="s">
        <v>203</v>
      </c>
      <c r="W63">
        <f>COUNTIF($W$2:$W$51,"*privacy*")</f>
        <v>17</v>
      </c>
      <c r="AB63" t="s">
        <v>261</v>
      </c>
      <c r="AC63">
        <f>COUNTIF($Z$2:$Z$51,"*problem-space, mapping*")</f>
        <v>15</v>
      </c>
      <c r="AE63" t="s">
        <v>332</v>
      </c>
      <c r="AF63">
        <v>8</v>
      </c>
    </row>
    <row r="64" spans="1:33" x14ac:dyDescent="0.25">
      <c r="G64" t="s">
        <v>131</v>
      </c>
      <c r="H64">
        <f>COUNTIF($I$2:$I$51,"-")</f>
        <v>28</v>
      </c>
      <c r="J64" t="s">
        <v>342</v>
      </c>
      <c r="K64">
        <f>COUNTIF($L$2:$L$51,"*decentralized*")</f>
        <v>1</v>
      </c>
      <c r="M64" t="s">
        <v>381</v>
      </c>
      <c r="N64">
        <f>COUNTIF($M$2:$M$51,"*patch*")</f>
        <v>1</v>
      </c>
      <c r="P64" t="s">
        <v>131</v>
      </c>
      <c r="Q64">
        <f>COUNTIF($R$2:$R$51,"-")</f>
        <v>12</v>
      </c>
      <c r="S64" t="s">
        <v>131</v>
      </c>
      <c r="T64">
        <f>COUNTIF($U$2:$U$51,"-")</f>
        <v>41</v>
      </c>
      <c r="V64" t="s">
        <v>350</v>
      </c>
      <c r="W64">
        <f>COUNTIF($W$2:$W$51,"*access*")</f>
        <v>23</v>
      </c>
      <c r="AB64" t="s">
        <v>170</v>
      </c>
      <c r="AC64">
        <f>COUNTIF($Z$2:$Z$51,"*problem-space, mapping, solution-space*")</f>
        <v>9</v>
      </c>
    </row>
    <row r="65" spans="1:42" x14ac:dyDescent="0.25">
      <c r="G65" t="s">
        <v>133</v>
      </c>
      <c r="H65">
        <f>COUNTIF($I$2:$I$51,"+")</f>
        <v>4</v>
      </c>
      <c r="J65" t="s">
        <v>135</v>
      </c>
      <c r="K65">
        <f>COUNTIF($L$2:$L$51,"-")</f>
        <v>1</v>
      </c>
      <c r="M65" t="s">
        <v>155</v>
      </c>
      <c r="N65">
        <f>COUNTIF($M$2:$M$51,"*unspecified*")</f>
        <v>4</v>
      </c>
      <c r="P65" t="s">
        <v>133</v>
      </c>
      <c r="Q65">
        <f>COUNTIF($R$2:$R$51,"+")</f>
        <v>20</v>
      </c>
      <c r="S65" t="s">
        <v>133</v>
      </c>
      <c r="T65">
        <f>COUNTIF($U$2:$U$51,"+")</f>
        <v>6</v>
      </c>
      <c r="V65" t="s">
        <v>245</v>
      </c>
      <c r="W65">
        <f>COUNTIF($W$2:$W$51,"*communication*")</f>
        <v>6</v>
      </c>
      <c r="Y65" t="s">
        <v>366</v>
      </c>
      <c r="Z65">
        <f>COUNTIF($X$2:$X$51,"*SSH*")</f>
        <v>2</v>
      </c>
      <c r="AB65" t="s">
        <v>159</v>
      </c>
      <c r="AC65">
        <f>COUNTIF($Z$2:$Z$51,"*problem-space*")</f>
        <v>21</v>
      </c>
    </row>
    <row r="66" spans="1:42" s="5" customFormat="1" x14ac:dyDescent="0.25">
      <c r="G66" t="s">
        <v>76</v>
      </c>
      <c r="H66">
        <f>COUNTIF($I$2:$I$51,"x")</f>
        <v>18</v>
      </c>
      <c r="P66" t="s">
        <v>76</v>
      </c>
      <c r="Q66">
        <f>COUNTIF($R$2:$R$51,"x")</f>
        <v>18</v>
      </c>
      <c r="S66" t="s">
        <v>76</v>
      </c>
      <c r="T66">
        <f>COUNTIF($U$2:$U$51,"x")</f>
        <v>3</v>
      </c>
      <c r="V66" t="s">
        <v>285</v>
      </c>
      <c r="W66">
        <f>COUNTIF($W$2:$W$51,"*variability*")</f>
        <v>9</v>
      </c>
      <c r="Y66" t="s">
        <v>368</v>
      </c>
      <c r="Z66">
        <f>COUNTIF($X$2:$X$51,"*TLS*")</f>
        <v>3</v>
      </c>
      <c r="AB66" t="s">
        <v>270</v>
      </c>
      <c r="AC66">
        <f>COUNTIF($Z$2:$Z$51,"*mapping*")</f>
        <v>28</v>
      </c>
      <c r="AK66"/>
      <c r="AL66"/>
      <c r="AM66"/>
    </row>
    <row r="67" spans="1:42" s="5" customFormat="1" x14ac:dyDescent="0.25">
      <c r="M67" s="1" t="s">
        <v>343</v>
      </c>
      <c r="N67"/>
      <c r="V67" t="s">
        <v>351</v>
      </c>
      <c r="W67">
        <f>COUNTIF($W$2:$W$51,"*hardware*")</f>
        <v>1</v>
      </c>
      <c r="Y67" t="s">
        <v>369</v>
      </c>
      <c r="Z67">
        <f>COUNTIF($X$2:$X$51,"*SSL*")</f>
        <v>4</v>
      </c>
      <c r="AB67" t="s">
        <v>165</v>
      </c>
      <c r="AC67">
        <f>COUNTIF($Z$2:$Z$51,"solution-space")</f>
        <v>16</v>
      </c>
      <c r="AK67"/>
      <c r="AL67"/>
      <c r="AM67"/>
    </row>
    <row r="68" spans="1:42" s="5" customFormat="1" x14ac:dyDescent="0.25">
      <c r="G68" s="1" t="s">
        <v>129</v>
      </c>
      <c r="H68"/>
      <c r="M68" t="s">
        <v>143</v>
      </c>
      <c r="N68">
        <f>COUNTIF($N$2:$N$51,"*system*")</f>
        <v>50</v>
      </c>
      <c r="V68" s="5" t="s">
        <v>352</v>
      </c>
      <c r="W68">
        <f>COUNTIF($W$2:$W$51,"*manipulation*")</f>
        <v>2</v>
      </c>
      <c r="Y68" s="5" t="s">
        <v>370</v>
      </c>
      <c r="Z68">
        <f>COUNTIF($X$2:$X$51,"*SGX*")</f>
        <v>2</v>
      </c>
    </row>
    <row r="69" spans="1:42" s="5" customFormat="1" x14ac:dyDescent="0.25">
      <c r="G69" t="s">
        <v>131</v>
      </c>
      <c r="H69">
        <f>COUNTIF($J$2:$J$51,"-")</f>
        <v>18</v>
      </c>
      <c r="M69" t="s">
        <v>163</v>
      </c>
      <c r="N69">
        <f>COUNTIF($N$2:$N$51,"*system, user*")</f>
        <v>40</v>
      </c>
      <c r="V69" s="5" t="s">
        <v>353</v>
      </c>
      <c r="W69">
        <f>COUNTIF($W$2:$W$51,"*theft*")</f>
        <v>2</v>
      </c>
      <c r="Y69" s="5" t="s">
        <v>372</v>
      </c>
      <c r="Z69">
        <f>COUNTIF($X$2:$X$51,"*AES*")</f>
        <v>1</v>
      </c>
      <c r="AB69" s="1" t="s">
        <v>376</v>
      </c>
      <c r="AC69"/>
    </row>
    <row r="70" spans="1:42" s="5" customFormat="1" x14ac:dyDescent="0.25">
      <c r="G70" t="s">
        <v>133</v>
      </c>
      <c r="H70">
        <f>COUNTIF($J$2:$J$51,"+")</f>
        <v>4</v>
      </c>
      <c r="M70" t="s">
        <v>344</v>
      </c>
      <c r="N70">
        <f>COUNTIF($N$2:$N$51,"*user*")</f>
        <v>41</v>
      </c>
      <c r="V70" s="5" t="s">
        <v>354</v>
      </c>
      <c r="W70">
        <f>COUNTIF($W$2:$W$51,"*malware*")</f>
        <v>1</v>
      </c>
      <c r="AB70" s="5" t="s">
        <v>377</v>
      </c>
      <c r="AC70">
        <f>COUNTIF($AA$2:$AA$51,"feature-based")</f>
        <v>0</v>
      </c>
    </row>
    <row r="71" spans="1:42" s="5" customFormat="1" x14ac:dyDescent="0.25">
      <c r="G71" t="s">
        <v>76</v>
      </c>
      <c r="H71">
        <f>COUNTIF($J$2:$J$51,"x")</f>
        <v>28</v>
      </c>
      <c r="M71" s="5" t="s">
        <v>349</v>
      </c>
      <c r="N71">
        <v>13</v>
      </c>
      <c r="V71" s="5" t="s">
        <v>355</v>
      </c>
      <c r="W71">
        <f>COUNTIF($W$2:$W$51,"*bugs*")</f>
        <v>2</v>
      </c>
      <c r="Y71" s="1"/>
      <c r="AB71" t="s">
        <v>217</v>
      </c>
      <c r="AC71">
        <f>COUNTIF($AA$2:$AA$51,"product-based")</f>
        <v>17</v>
      </c>
    </row>
    <row r="72" spans="1:42" s="5" customFormat="1" x14ac:dyDescent="0.25">
      <c r="V72" s="5" t="s">
        <v>356</v>
      </c>
      <c r="W72">
        <f>COUNTIF($W$2:$W$51,"*maintenance*")</f>
        <v>1</v>
      </c>
      <c r="Y72"/>
      <c r="Z72"/>
      <c r="AB72" t="s">
        <v>255</v>
      </c>
      <c r="AC72">
        <f>COUNTIF($AA$2:$AA$51,"family-based")</f>
        <v>1</v>
      </c>
    </row>
    <row r="73" spans="1:42" s="5" customFormat="1" x14ac:dyDescent="0.25">
      <c r="M73" s="1" t="s">
        <v>64</v>
      </c>
      <c r="N73"/>
      <c r="V73" s="5" t="s">
        <v>359</v>
      </c>
      <c r="W73">
        <f>COUNTIF($W$2:$W$51,"*vulner*")</f>
        <v>2</v>
      </c>
      <c r="Y73"/>
      <c r="Z73"/>
      <c r="AB73" t="s">
        <v>256</v>
      </c>
      <c r="AC73">
        <f>COUNTIF($AA$2:$AA$51,"*technical*")</f>
        <v>7</v>
      </c>
    </row>
    <row r="74" spans="1:42" s="5" customFormat="1" x14ac:dyDescent="0.25">
      <c r="M74" t="s">
        <v>345</v>
      </c>
      <c r="N74">
        <v>6</v>
      </c>
      <c r="V74" s="5" t="s">
        <v>360</v>
      </c>
      <c r="W74">
        <f>COUNTIF($W$2:$W$51,"*trust*")</f>
        <v>4</v>
      </c>
      <c r="Y74"/>
      <c r="Z74"/>
      <c r="AB74" t="s">
        <v>135</v>
      </c>
      <c r="AC74">
        <f>COUNTIF($AA$2:$AA$51,"-")</f>
        <v>25</v>
      </c>
    </row>
    <row r="75" spans="1:42" s="5" customFormat="1" x14ac:dyDescent="0.25">
      <c r="M75" t="s">
        <v>346</v>
      </c>
      <c r="N75">
        <v>43</v>
      </c>
      <c r="AB75" t="s">
        <v>349</v>
      </c>
      <c r="AC75">
        <v>18</v>
      </c>
    </row>
    <row r="76" spans="1:42" x14ac:dyDescent="0.25">
      <c r="AM76" s="5"/>
      <c r="AN76" s="5"/>
      <c r="AO76" s="5"/>
      <c r="AP76" s="5"/>
    </row>
    <row r="77" spans="1:42" x14ac:dyDescent="0.25">
      <c r="AM77" s="5"/>
      <c r="AN77" s="5"/>
      <c r="AO77" s="5"/>
      <c r="AP77" s="5"/>
    </row>
    <row r="78" spans="1:42" x14ac:dyDescent="0.25">
      <c r="A78" s="1" t="s">
        <v>122</v>
      </c>
      <c r="AK78" s="5"/>
      <c r="AL78" s="5"/>
      <c r="AM78" s="5"/>
      <c r="AN78" s="5"/>
      <c r="AO78" s="5"/>
      <c r="AP78" s="5"/>
    </row>
    <row r="79" spans="1:42" x14ac:dyDescent="0.25">
      <c r="A79" t="s">
        <v>121</v>
      </c>
      <c r="AK79" s="5"/>
      <c r="AL79" s="5"/>
    </row>
    <row r="80" spans="1:42" x14ac:dyDescent="0.25">
      <c r="AK80" s="5"/>
      <c r="AL80" s="5"/>
    </row>
    <row r="81" spans="1:39" x14ac:dyDescent="0.25">
      <c r="A81" t="s">
        <v>135</v>
      </c>
      <c r="C81" t="s">
        <v>131</v>
      </c>
    </row>
    <row r="82" spans="1:39" x14ac:dyDescent="0.25">
      <c r="A82" t="s">
        <v>132</v>
      </c>
      <c r="C82" t="s">
        <v>133</v>
      </c>
    </row>
    <row r="83" spans="1:39" x14ac:dyDescent="0.25">
      <c r="A83" t="s">
        <v>134</v>
      </c>
      <c r="C83" t="s">
        <v>76</v>
      </c>
    </row>
    <row r="84" spans="1:39" x14ac:dyDescent="0.25">
      <c r="A84" s="2" t="s">
        <v>76</v>
      </c>
      <c r="B84" s="2" t="s">
        <v>56</v>
      </c>
      <c r="C84" s="2" t="s">
        <v>55</v>
      </c>
      <c r="D84" s="2">
        <v>2017</v>
      </c>
      <c r="E84" s="2"/>
      <c r="F84" s="2"/>
      <c r="G84" s="2"/>
      <c r="H84" s="2"/>
      <c r="I84" s="2"/>
      <c r="J84" s="2"/>
      <c r="K84" s="2"/>
      <c r="L84" s="2"/>
      <c r="M84" s="2"/>
      <c r="N84" s="2" t="s">
        <v>131</v>
      </c>
      <c r="O84" s="2"/>
      <c r="P84" s="2"/>
      <c r="Q84" s="2"/>
      <c r="R84" s="2"/>
      <c r="S84" s="2"/>
      <c r="T84" s="2"/>
      <c r="U84" s="2" t="s">
        <v>247</v>
      </c>
      <c r="V84" s="2" t="s">
        <v>131</v>
      </c>
      <c r="W84" s="2" t="s">
        <v>131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M84" s="5"/>
    </row>
    <row r="85" spans="1:39" x14ac:dyDescent="0.25">
      <c r="A85" s="2" t="s">
        <v>76</v>
      </c>
      <c r="B85" s="2" t="s">
        <v>16</v>
      </c>
      <c r="C85" s="2" t="s">
        <v>15</v>
      </c>
      <c r="D85" s="2">
        <v>2015</v>
      </c>
      <c r="E85" s="2"/>
      <c r="F85" s="2"/>
      <c r="G85" s="2"/>
      <c r="H85" s="2"/>
      <c r="I85" s="2"/>
      <c r="J85" s="2" t="s">
        <v>223</v>
      </c>
      <c r="K85" s="2" t="s">
        <v>136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M85" s="5"/>
    </row>
    <row r="86" spans="1:39" x14ac:dyDescent="0.25">
      <c r="A86" s="2" t="s">
        <v>76</v>
      </c>
      <c r="B86" s="2" t="s">
        <v>81</v>
      </c>
      <c r="C86" s="2" t="s">
        <v>82</v>
      </c>
      <c r="D86" s="2">
        <v>2016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5"/>
      <c r="AL86" s="5"/>
    </row>
    <row r="87" spans="1:39" x14ac:dyDescent="0.25">
      <c r="A87" s="2" t="s">
        <v>76</v>
      </c>
      <c r="B87" s="2" t="s">
        <v>6</v>
      </c>
      <c r="C87" s="2" t="s">
        <v>5</v>
      </c>
      <c r="D87" s="2">
        <v>2016</v>
      </c>
      <c r="E87" s="2" t="s">
        <v>239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5"/>
      <c r="AL87" s="5"/>
    </row>
    <row r="88" spans="1:39" x14ac:dyDescent="0.25">
      <c r="A88" s="2" t="s">
        <v>76</v>
      </c>
      <c r="B88" s="2" t="s">
        <v>103</v>
      </c>
      <c r="C88" s="2" t="s">
        <v>102</v>
      </c>
      <c r="D88" s="2">
        <v>2016</v>
      </c>
      <c r="E88" s="2" t="s">
        <v>211</v>
      </c>
      <c r="F88" s="2"/>
      <c r="G88" s="2"/>
      <c r="H88" s="2"/>
      <c r="I88" s="2"/>
      <c r="J88" s="2"/>
      <c r="K88" s="2"/>
      <c r="L88" s="2"/>
      <c r="M88" s="2"/>
      <c r="N88" s="2" t="s">
        <v>131</v>
      </c>
      <c r="O88" s="2" t="s">
        <v>131</v>
      </c>
      <c r="P88" s="2" t="s">
        <v>131</v>
      </c>
      <c r="Q88" s="2" t="s">
        <v>133</v>
      </c>
      <c r="R88" s="2" t="s">
        <v>133</v>
      </c>
      <c r="S88" s="2" t="s">
        <v>131</v>
      </c>
      <c r="T88" s="2" t="s">
        <v>131</v>
      </c>
      <c r="U88" s="2" t="s">
        <v>131</v>
      </c>
      <c r="V88" s="2" t="s">
        <v>213</v>
      </c>
      <c r="W88" s="2" t="s">
        <v>214</v>
      </c>
      <c r="X88" s="2" t="s">
        <v>145</v>
      </c>
      <c r="Y88" s="2" t="s">
        <v>165</v>
      </c>
      <c r="Z88" s="2" t="s">
        <v>131</v>
      </c>
      <c r="AA88" s="2" t="s">
        <v>131</v>
      </c>
      <c r="AB88" s="2"/>
      <c r="AC88" s="2"/>
      <c r="AD88" s="2"/>
      <c r="AE88" s="2"/>
      <c r="AF88" s="2"/>
      <c r="AG88" s="2"/>
      <c r="AH88" s="2"/>
      <c r="AI88" s="2"/>
      <c r="AJ88" s="2"/>
    </row>
    <row r="89" spans="1:39" x14ac:dyDescent="0.25">
      <c r="A89" s="2" t="s">
        <v>76</v>
      </c>
      <c r="B89" s="2" t="s">
        <v>111</v>
      </c>
      <c r="C89" s="2" t="s">
        <v>112</v>
      </c>
      <c r="D89" s="2">
        <v>2014</v>
      </c>
      <c r="E89" s="2"/>
      <c r="F89" s="2"/>
      <c r="G89" s="2"/>
      <c r="H89" s="2"/>
      <c r="I89" s="2"/>
      <c r="J89" s="2" t="s">
        <v>153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9" x14ac:dyDescent="0.25">
      <c r="A90" s="2" t="s">
        <v>76</v>
      </c>
      <c r="B90" s="2" t="s">
        <v>58</v>
      </c>
      <c r="C90" s="2" t="s">
        <v>57</v>
      </c>
      <c r="D90" s="2">
        <v>2018</v>
      </c>
      <c r="E90" s="2"/>
      <c r="F90" s="2"/>
      <c r="G90" s="2"/>
      <c r="H90" s="2"/>
      <c r="I90" s="2"/>
      <c r="J90" s="2"/>
      <c r="K90" s="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9" x14ac:dyDescent="0.25">
      <c r="A91" s="2" t="s">
        <v>76</v>
      </c>
      <c r="B91" s="2" t="s">
        <v>30</v>
      </c>
      <c r="C91" s="2" t="s">
        <v>29</v>
      </c>
      <c r="D91" s="2">
        <v>2017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 t="s">
        <v>130</v>
      </c>
      <c r="AD91" s="2"/>
      <c r="AE91" s="2"/>
      <c r="AF91" s="2"/>
      <c r="AG91" s="2"/>
      <c r="AH91" s="2"/>
      <c r="AI91" s="2"/>
      <c r="AJ91" s="2"/>
    </row>
    <row r="92" spans="1:39" x14ac:dyDescent="0.25">
      <c r="A92" s="2" t="s">
        <v>76</v>
      </c>
      <c r="B92" s="2" t="s">
        <v>89</v>
      </c>
      <c r="C92" s="2" t="s">
        <v>88</v>
      </c>
      <c r="D92" s="2">
        <v>2016</v>
      </c>
      <c r="E92" s="2" t="s">
        <v>151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9" x14ac:dyDescent="0.25">
      <c r="A93" s="2" t="s">
        <v>76</v>
      </c>
      <c r="B93" s="2" t="s">
        <v>87</v>
      </c>
      <c r="C93" s="2" t="s">
        <v>86</v>
      </c>
      <c r="D93" s="2">
        <v>2017</v>
      </c>
      <c r="E93" s="2"/>
      <c r="F93" s="2"/>
      <c r="G93" s="2"/>
      <c r="H93" s="2" t="s">
        <v>76</v>
      </c>
      <c r="I93" s="2"/>
      <c r="J93" s="2" t="s">
        <v>139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</sheetData>
  <autoFilter ref="A1:AE50">
    <sortState ref="A2:AE51">
      <sortCondition ref="D1:D5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 NullNullSieben</dc:creator>
  <cp:lastModifiedBy>Rim NullNullSieben</cp:lastModifiedBy>
  <dcterms:created xsi:type="dcterms:W3CDTF">2022-03-17T15:16:12Z</dcterms:created>
  <dcterms:modified xsi:type="dcterms:W3CDTF">2022-04-23T15:37:32Z</dcterms:modified>
</cp:coreProperties>
</file>