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74" i="1" l="1"/>
  <c r="Z73" i="1"/>
  <c r="Z72" i="1"/>
  <c r="K64" i="1" l="1"/>
  <c r="K63" i="1"/>
  <c r="K55" i="1"/>
  <c r="K56" i="1"/>
  <c r="K54" i="1"/>
  <c r="E58" i="1" l="1"/>
  <c r="E56" i="1"/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7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<sst xmlns="http://schemas.openxmlformats.org/spreadsheetml/2006/main" count="1684" uniqueCount="400">
  <si>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</si>
  <si>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</si>
  <si>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</si>
  <si>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</si>
  <si>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</si>
  <si>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</si>
  <si>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</si>
  <si>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</si>
  <si>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</si>
  <si>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</si>
  <si>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</si>
  <si>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</si>
  <si>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</si>
  <si>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</si>
  <si>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</si>
  <si>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</si>
  <si>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</si>
  <si>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</si>
  <si>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</si>
  <si>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</si>
  <si>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</si>
  <si>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</si>
  <si>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</si>
  <si>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</si>
  <si>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</si>
  <si>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</si>
  <si>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</si>
  <si>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</si>
  <si>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</si>
  <si>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</si>
  <si>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</si>
  <si>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</si>
  <si>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</si>
  <si>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</si>
  <si>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</si>
  <si>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</si>
  <si>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</si>
  <si>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</si>
  <si>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</si>
  <si>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</si>
  <si>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</si>
  <si>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</si>
  <si>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</si>
  <si>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</si>
  <si>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</si>
  <si>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</si>
  <si>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</si>
  <si>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</si>
  <si>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</si>
  <si>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</si>
  <si>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</si>
  <si>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</si>
  <si>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</si>
  <si>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</si>
  <si>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</si>
  <si>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</si>
  <si>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</si>
  <si>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</si>
  <si>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</si>
  <si>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</si>
  <si>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</si>
  <si>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</si>
  <si>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</si>
  <si>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</si>
  <si>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</si>
  <si>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</si>
  <si>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</si>
  <si>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</si>
  <si>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</si>
  <si>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</si>
  <si>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</si>
  <si>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</si>
  <si>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</si>
  <si>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</si>
  <si>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</si>
  <si>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</si>
  <si>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</si>
  <si>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</si>
  <si>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</si>
  <si>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</si>
  <si>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</si>
  <si>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</si>
  <si>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</si>
  <si>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</si>
  <si>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</si>
  <si>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</si>
  <si>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</si>
  <si>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</si>
  <si>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</si>
  <si>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</si>
  <si>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</si>
  <si>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</si>
  <si>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</si>
  <si>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</si>
  <si>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</si>
  <si>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</si>
  <si>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</si>
  <si>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</si>
  <si>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</si>
  <si>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</si>
  <si>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</si>
  <si>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</si>
  <si>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</si>
  <si>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</si>
  <si>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</si>
  <si>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</si>
  <si>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</si>
  <si>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</si>
  <si>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</si>
  <si>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</si>
  <si>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</si>
  <si>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</si>
  <si>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</si>
  <si>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</si>
  <si>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</si>
  <si>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</si>
  <si>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</si>
  <si>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</si>
  <si>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</si>
  <si>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</si>
  <si>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</si>
  <si>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</si>
  <si>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</si>
  <si>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</si>
  <si>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</si>
  <si>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</si>
  <si>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</si>
  <si>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</si>
  <si>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</si>
  <si>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</si>
  <si>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</si>
  <si>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</si>
  <si>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</si>
  <si>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</si>
  <si>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</si>
  <si>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</si>
  <si>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</si>
  <si>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</si>
  <si>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</si>
  <si>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</si>
  <si>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</si>
  <si>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</si>
  <si>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</si>
  <si>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</si>
  <si>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</si>
  <si>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</si>
  <si>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</si>
  <si>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</si>
  <si>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</si>
  <si>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</si>
  <si>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</si>
  <si>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</si>
  <si>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</si>
  <si>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</si>
  <si>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</si>
  <si>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</si>
  <si>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</si>
  <si>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</si>
  <si>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</si>
  <si>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</si>
  <si>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</si>
  <si>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</si>
  <si>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</si>
  <si>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</si>
  <si>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</si>
  <si>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</si>
  <si>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</si>
  <si>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</si>
  <si>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</si>
  <si>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</si>
  <si>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</si>
  <si>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</si>
  <si>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</si>
  <si>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</si>
  <si>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</si>
  <si>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</si>
  <si>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</si>
  <si>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</si>
  <si>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</si>
  <si>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</si>
  <si>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</si>
  <si>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</si>
  <si>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</si>
  <si>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</si>
  <si>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</si>
  <si>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</si>
  <si>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</si>
  <si>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</si>
  <si>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</si>
  <si>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</si>
  <si>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</si>
  <si>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</si>
  <si>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</si>
  <si>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</si>
  <si>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</si>
  <si>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</si>
  <si>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</si>
  <si>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</si>
  <si>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</si>
  <si>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</si>
  <si>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</si>
  <si>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</si>
  <si>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</si>
  <si>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</si>
  <si>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</si>
  <si>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</si>
  <si>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</si>
  <si>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</si>
  <si>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</si>
  <si>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</si>
  <si>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</si>
  <si>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</si>
  <si>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</si>
  <si>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</si>
  <si>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</si>
  <si>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</si>
  <si>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</si>
  <si>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</si>
  <si>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</si>
  <si>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</si>
  <si>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</si>
  <si>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</si>
  <si>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</si>
  <si>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</si>
  <si>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</si>
  <si>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</si>
  <si>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</si>
  <si>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</si>
  <si>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</si>
  <si>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</si>
  <si>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</si>
  <si>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</si>
  <si>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</si>
  <si>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</si>
  <si>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</si>
  <si>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</si>
  <si>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</si>
  <si>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</si>
  <si>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</si>
  <si>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</si>
  <si>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</si>
  <si>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</si>
  <si>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</si>
  <si>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</si>
  <si>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</si>
  <si>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</si>
  <si>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</si>
  <si>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</si>
  <si>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</si>
  <si>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</si>
  <si>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</si>
  <si>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</si>
  <si>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</si>
  <si>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</si>
  <si>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</si>
  <si>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</si>
  <si>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</si>
  <si>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</si>
  <si>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</si>
  <si>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</si>
  <si>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</si>
  <si>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</si>
  <si>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</si>
  <si>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</si>
  <si>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</si>
  <si>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</si>
  <si>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</si>
  <si>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</si>
  <si>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</si>
  <si>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</si>
  <si>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</si>
  <si>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</si>
  <si>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</si>
  <si>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</si>
  <si>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</si>
  <si>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</si>
  <si>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</si>
  <si>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</si>
  <si>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</si>
  <si>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</si>
  <si>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</si>
  <si>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</si>
  <si>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</si>
  <si>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</si>
  <si>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</si>
  <si>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</si>
  <si>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</si>
  <si>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</si>
  <si>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</si>
  <si>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</si>
  <si>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</si>
  <si>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</si>
  <si>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</si>
  <si>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</si>
  <si>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</si>
  <si>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</si>
  <si>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</si>
  <si>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</si>
  <si>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</si>
  <si>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</si>
  <si>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</si>
  <si>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</si>
  <si>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</si>
  <si>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</si>
  <si>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</si>
  <si>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</si>
  <si>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</si>
  <si>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</si>
  <si>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</si>
  <si>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</si>
  <si>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</si>
  <si>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</si>
  <si>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</si>
  <si>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</si>
  <si>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</si>
  <si>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</si>
  <si>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</si>
  <si>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</si>
  <si>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</si>
  <si>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</si>
  <si>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</si>
  <si>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</si>
  <si>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</si>
  <si>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</si>
  <si>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</si>
  <si>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</si>
  <si>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</si>
  <si>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</si>
  <si>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</si>
  <si>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</si>
  <si>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</si>
  <si>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</si>
  <si>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</si>
  <si>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</si>
  <si>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</si>
  <si>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</si>
  <si>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</si>
  <si>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</si>
  <si>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</si>
  <si>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</si>
  <si>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</si>
  <si>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</si>
  <si>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</si>
  <si>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</si>
  <si>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</si>
  <si>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</si>
  <si>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</si>
  <si>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</si>
  <si>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</si>
  <si>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</si>
  <si>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</si>
  <si>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</si>
  <si>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</si>
  <si>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</si>
  <si>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</si>
  <si>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</si>
  <si>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</si>
  <si>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</si>
  <si>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</si>
  <si>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</si>
  <si>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</si>
  <si>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</si>
  <si>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</si>
  <si>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</si>
  <si>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</si>
  <si>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misuse pattern</t>
  </si>
  <si>
    <t>SSH</t>
  </si>
  <si>
    <t>security models</t>
  </si>
  <si>
    <t>TLS</t>
  </si>
  <si>
    <t>SSL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</si>
  <si>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</si>
  <si>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</si>
  <si>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</si>
  <si>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</si>
  <si>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</si>
  <si>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</si>
  <si>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</si>
  <si>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</si>
  <si>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</si>
  <si>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</si>
  <si>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</si>
  <si>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</si>
  <si>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</si>
  <si>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</si>
  <si>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</si>
  <si>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</si>
  <si>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</si>
  <si>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</si>
  <si>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</si>
  <si>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</si>
  <si>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</si>
  <si>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</si>
  <si>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</si>
  <si>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</si>
  <si>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</si>
  <si>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</si>
  <si>
    <t>distributed, centralized</t>
  </si>
  <si>
    <t>distributed (centralized)</t>
  </si>
  <si>
    <t xml:space="preserve">distributed (centralized) </t>
  </si>
  <si>
    <t>database isolation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</si>
</sst>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  <xf numFmtId="0" fontId="0" fillId="37" borderId="0" xfId="0" applyFill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topLeftCell="L1" zoomScaleNormal="100" workbookViewId="0">
      <pane ySplit="1" topLeftCell="A56" activePane="bottomLeft" state="frozen"/>
      <selection pane="bottomLeft" activeCell="Z75" sqref="Z75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330</v>
      </c>
      <c r="G1" s="1" t="s">
        <v>61</v>
      </c>
      <c r="H1" s="1" t="s">
        <v>62</v>
      </c>
      <c r="I1" s="1" t="s">
        <v>78</v>
      </c>
      <c r="J1" s="1" t="s">
        <v>129</v>
      </c>
      <c r="K1" s="1" t="s">
        <v>74</v>
      </c>
      <c r="L1" s="1" t="s">
        <v>123</v>
      </c>
      <c r="M1" s="1" t="s">
        <v>124</v>
      </c>
      <c r="N1" s="1" t="s">
        <v>150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126</v>
      </c>
      <c r="V1" s="1" t="s">
        <v>127</v>
      </c>
      <c r="W1" s="1" t="s">
        <v>128</v>
      </c>
      <c r="X1" s="1" t="s">
        <v>394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332</v>
      </c>
      <c r="F2" s="5" t="s">
        <v>174</v>
      </c>
      <c r="G2" s="5" t="s">
        <v>131</v>
      </c>
      <c r="H2" s="5" t="s">
        <v>76</v>
      </c>
      <c r="I2" s="5" t="s">
        <v>76</v>
      </c>
      <c r="J2" s="5" t="s">
        <v>131</v>
      </c>
      <c r="K2" s="5" t="s">
        <v>153</v>
      </c>
      <c r="L2" s="6" t="s">
        <v>136</v>
      </c>
      <c r="M2" s="5" t="s">
        <v>131</v>
      </c>
      <c r="N2" t="s">
        <v>163</v>
      </c>
      <c r="O2" s="5" t="s">
        <v>131</v>
      </c>
      <c r="P2" s="5" t="s">
        <v>131</v>
      </c>
      <c r="Q2" s="5" t="s">
        <v>131</v>
      </c>
      <c r="R2" s="5" t="s">
        <v>131</v>
      </c>
      <c r="S2" s="5" t="s">
        <v>131</v>
      </c>
      <c r="T2" s="5" t="s">
        <v>131</v>
      </c>
      <c r="U2" s="5" t="s">
        <v>131</v>
      </c>
      <c r="V2" s="5" t="s">
        <v>144</v>
      </c>
      <c r="W2" s="5" t="s">
        <v>131</v>
      </c>
      <c r="X2" s="5" t="s">
        <v>172</v>
      </c>
      <c r="Y2" t="s">
        <v>138</v>
      </c>
      <c r="Z2" s="5" t="s">
        <v>165</v>
      </c>
      <c r="AA2" s="5" t="s">
        <v>131</v>
      </c>
      <c r="AB2" s="5" t="s">
        <v>131</v>
      </c>
      <c r="AC2" s="5" t="s">
        <v>131</v>
      </c>
      <c r="AD2" t="s">
        <v>173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331</v>
      </c>
      <c r="F3" t="s">
        <v>328</v>
      </c>
      <c r="G3" s="5" t="s">
        <v>131</v>
      </c>
      <c r="H3" s="5" t="s">
        <v>76</v>
      </c>
      <c r="I3" s="5" t="s">
        <v>131</v>
      </c>
      <c r="J3" s="5" t="s">
        <v>76</v>
      </c>
      <c r="K3" s="5" t="s">
        <v>139</v>
      </c>
      <c r="L3" s="5" t="s">
        <v>396</v>
      </c>
      <c r="M3" s="5" t="s">
        <v>205</v>
      </c>
      <c r="N3" s="6" t="s">
        <v>163</v>
      </c>
      <c r="O3" t="s">
        <v>131</v>
      </c>
      <c r="P3" s="5" t="s">
        <v>133</v>
      </c>
      <c r="Q3" s="5" t="s">
        <v>131</v>
      </c>
      <c r="R3" s="5" t="s">
        <v>131</v>
      </c>
      <c r="S3" s="5" t="s">
        <v>131</v>
      </c>
      <c r="T3" s="5" t="s">
        <v>133</v>
      </c>
      <c r="U3" s="5" t="s">
        <v>131</v>
      </c>
      <c r="V3" s="5" t="s">
        <v>204</v>
      </c>
      <c r="W3" s="5" t="s">
        <v>203</v>
      </c>
      <c r="X3" s="5" t="s">
        <v>131</v>
      </c>
      <c r="Y3" s="5" t="s">
        <v>145</v>
      </c>
      <c r="Z3" s="5" t="s">
        <v>159</v>
      </c>
      <c r="AA3" s="5" t="s">
        <v>131</v>
      </c>
      <c r="AB3" s="5" t="s">
        <v>133</v>
      </c>
      <c r="AC3" s="5" t="s">
        <v>131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332</v>
      </c>
      <c r="F4" t="s">
        <v>327</v>
      </c>
      <c r="G4" s="5" t="s">
        <v>131</v>
      </c>
      <c r="H4" s="5" t="s">
        <v>76</v>
      </c>
      <c r="I4" s="5" t="s">
        <v>131</v>
      </c>
      <c r="J4" s="5" t="s">
        <v>76</v>
      </c>
      <c r="K4" t="s">
        <v>207</v>
      </c>
      <c r="L4" s="5" t="s">
        <v>396</v>
      </c>
      <c r="M4" s="5" t="s">
        <v>234</v>
      </c>
      <c r="N4" s="5" t="s">
        <v>163</v>
      </c>
      <c r="O4" t="s">
        <v>131</v>
      </c>
      <c r="P4" s="5" t="s">
        <v>131</v>
      </c>
      <c r="Q4" t="s">
        <v>131</v>
      </c>
      <c r="R4" s="5" t="s">
        <v>76</v>
      </c>
      <c r="S4" s="5" t="s">
        <v>76</v>
      </c>
      <c r="T4" s="5" t="s">
        <v>131</v>
      </c>
      <c r="U4" s="5" t="s">
        <v>131</v>
      </c>
      <c r="V4" s="6" t="s">
        <v>230</v>
      </c>
      <c r="W4" s="5" t="s">
        <v>131</v>
      </c>
      <c r="X4" s="5" t="s">
        <v>131</v>
      </c>
      <c r="Y4" s="5" t="s">
        <v>145</v>
      </c>
      <c r="Z4" s="5" t="s">
        <v>165</v>
      </c>
      <c r="AA4" s="5" t="s">
        <v>131</v>
      </c>
      <c r="AB4" s="5" t="s">
        <v>76</v>
      </c>
      <c r="AC4" t="s">
        <v>235</v>
      </c>
      <c r="AD4" t="s">
        <v>131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212</v>
      </c>
      <c r="F5" t="s">
        <v>212</v>
      </c>
      <c r="G5" s="5" t="s">
        <v>131</v>
      </c>
      <c r="H5" s="5" t="s">
        <v>76</v>
      </c>
      <c r="I5" s="5" t="s">
        <v>133</v>
      </c>
      <c r="J5" s="5" t="s">
        <v>133</v>
      </c>
      <c r="K5" s="5" t="s">
        <v>223</v>
      </c>
      <c r="L5" s="6" t="s">
        <v>136</v>
      </c>
      <c r="M5" s="5" t="s">
        <v>209</v>
      </c>
      <c r="N5" s="6" t="s">
        <v>143</v>
      </c>
      <c r="O5" t="s">
        <v>131</v>
      </c>
      <c r="P5" s="5" t="s">
        <v>131</v>
      </c>
      <c r="Q5" s="5" t="s">
        <v>131</v>
      </c>
      <c r="R5" s="5" t="s">
        <v>133</v>
      </c>
      <c r="S5" s="5" t="s">
        <v>133</v>
      </c>
      <c r="T5" s="5" t="s">
        <v>131</v>
      </c>
      <c r="U5" s="5" t="s">
        <v>131</v>
      </c>
      <c r="V5" s="6" t="s">
        <v>230</v>
      </c>
      <c r="W5" s="5" t="s">
        <v>206</v>
      </c>
      <c r="X5" t="s">
        <v>194</v>
      </c>
      <c r="Y5" s="5" t="s">
        <v>145</v>
      </c>
      <c r="Z5" t="s">
        <v>196</v>
      </c>
      <c r="AA5" s="5" t="s">
        <v>131</v>
      </c>
      <c r="AB5" s="5" t="s">
        <v>131</v>
      </c>
      <c r="AC5" s="5" t="s">
        <v>210</v>
      </c>
      <c r="AD5" s="5" t="s">
        <v>208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321</v>
      </c>
      <c r="F6" t="s">
        <v>321</v>
      </c>
      <c r="G6" s="5" t="s">
        <v>131</v>
      </c>
      <c r="H6" s="5" t="s">
        <v>76</v>
      </c>
      <c r="I6" s="5" t="s">
        <v>76</v>
      </c>
      <c r="J6" s="5" t="s">
        <v>131</v>
      </c>
      <c r="K6" t="s">
        <v>223</v>
      </c>
      <c r="L6" s="6" t="s">
        <v>136</v>
      </c>
      <c r="M6" s="5" t="s">
        <v>237</v>
      </c>
      <c r="N6" s="5" t="s">
        <v>163</v>
      </c>
      <c r="O6" t="s">
        <v>131</v>
      </c>
      <c r="P6" s="5" t="s">
        <v>131</v>
      </c>
      <c r="Q6" t="s">
        <v>131</v>
      </c>
      <c r="R6" s="5" t="s">
        <v>133</v>
      </c>
      <c r="S6" s="5" t="s">
        <v>131</v>
      </c>
      <c r="T6" s="5" t="s">
        <v>131</v>
      </c>
      <c r="U6" s="5" t="s">
        <v>131</v>
      </c>
      <c r="V6" s="6" t="s">
        <v>230</v>
      </c>
      <c r="W6" s="5" t="s">
        <v>203</v>
      </c>
      <c r="X6" s="5" t="s">
        <v>131</v>
      </c>
      <c r="Y6" s="5" t="s">
        <v>158</v>
      </c>
      <c r="Z6" t="s">
        <v>196</v>
      </c>
      <c r="AA6" s="5" t="s">
        <v>217</v>
      </c>
      <c r="AB6" s="5" t="s">
        <v>76</v>
      </c>
      <c r="AC6" s="5" t="s">
        <v>238</v>
      </c>
      <c r="AD6" s="5" t="s">
        <v>236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157</v>
      </c>
      <c r="F7" t="s">
        <v>157</v>
      </c>
      <c r="G7" s="5" t="s">
        <v>131</v>
      </c>
      <c r="H7" s="5" t="s">
        <v>76</v>
      </c>
      <c r="I7" s="5" t="s">
        <v>76</v>
      </c>
      <c r="J7" s="5" t="s">
        <v>131</v>
      </c>
      <c r="K7" s="5" t="s">
        <v>153</v>
      </c>
      <c r="L7" s="6" t="s">
        <v>136</v>
      </c>
      <c r="M7" s="5" t="s">
        <v>243</v>
      </c>
      <c r="N7" s="5" t="s">
        <v>163</v>
      </c>
      <c r="O7" t="s">
        <v>131</v>
      </c>
      <c r="P7" s="5" t="s">
        <v>131</v>
      </c>
      <c r="Q7" s="5" t="s">
        <v>131</v>
      </c>
      <c r="R7" s="5" t="s">
        <v>133</v>
      </c>
      <c r="S7" s="5" t="s">
        <v>131</v>
      </c>
      <c r="T7" s="5" t="s">
        <v>131</v>
      </c>
      <c r="U7" s="5" t="s">
        <v>131</v>
      </c>
      <c r="V7" s="6" t="s">
        <v>230</v>
      </c>
      <c r="W7" s="5" t="s">
        <v>164</v>
      </c>
      <c r="X7" s="5" t="s">
        <v>242</v>
      </c>
      <c r="Y7" s="5" t="s">
        <v>145</v>
      </c>
      <c r="Z7" t="s">
        <v>170</v>
      </c>
      <c r="AA7" s="6" t="s">
        <v>217</v>
      </c>
      <c r="AB7" s="5" t="s">
        <v>131</v>
      </c>
      <c r="AC7" s="5" t="s">
        <v>131</v>
      </c>
      <c r="AD7" t="s">
        <v>246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332</v>
      </c>
      <c r="F8" t="s">
        <v>322</v>
      </c>
      <c r="G8" s="5" t="s">
        <v>131</v>
      </c>
      <c r="H8" s="5" t="s">
        <v>76</v>
      </c>
      <c r="I8" s="5" t="s">
        <v>76</v>
      </c>
      <c r="J8" s="5" t="s">
        <v>131</v>
      </c>
      <c r="K8" s="5" t="s">
        <v>153</v>
      </c>
      <c r="L8" s="5" t="s">
        <v>136</v>
      </c>
      <c r="M8" s="5" t="s">
        <v>387</v>
      </c>
      <c r="N8" s="6" t="s">
        <v>163</v>
      </c>
      <c r="O8" t="s">
        <v>131</v>
      </c>
      <c r="P8" s="5" t="s">
        <v>131</v>
      </c>
      <c r="Q8" s="5" t="s">
        <v>131</v>
      </c>
      <c r="R8" s="5" t="s">
        <v>76</v>
      </c>
      <c r="S8" s="5" t="s">
        <v>133</v>
      </c>
      <c r="T8" s="5" t="s">
        <v>133</v>
      </c>
      <c r="U8" s="5" t="s">
        <v>131</v>
      </c>
      <c r="V8" s="5" t="s">
        <v>247</v>
      </c>
      <c r="W8" s="5" t="s">
        <v>245</v>
      </c>
      <c r="X8" s="5" t="s">
        <v>177</v>
      </c>
      <c r="Y8" s="5" t="s">
        <v>145</v>
      </c>
      <c r="Z8" t="s">
        <v>170</v>
      </c>
      <c r="AA8" s="6" t="s">
        <v>217</v>
      </c>
      <c r="AB8" s="5" t="s">
        <v>131</v>
      </c>
      <c r="AC8" s="5" t="s">
        <v>131</v>
      </c>
      <c r="AD8" t="s">
        <v>246</v>
      </c>
    </row>
    <row r="9" spans="1:37" x14ac:dyDescent="0.25">
      <c r="A9" t="s">
        <v>76</v>
      </c>
      <c r="B9" t="s">
        <v>258</v>
      </c>
      <c r="C9" t="s">
        <v>85</v>
      </c>
      <c r="D9">
        <v>2014</v>
      </c>
      <c r="E9" t="s">
        <v>333</v>
      </c>
      <c r="F9" t="s">
        <v>323</v>
      </c>
      <c r="G9" s="5" t="s">
        <v>131</v>
      </c>
      <c r="H9" s="5" t="s">
        <v>76</v>
      </c>
      <c r="I9" s="5" t="s">
        <v>131</v>
      </c>
      <c r="J9" s="5" t="s">
        <v>76</v>
      </c>
      <c r="K9" s="5" t="s">
        <v>139</v>
      </c>
      <c r="L9" s="6" t="s">
        <v>136</v>
      </c>
      <c r="M9" s="5" t="s">
        <v>257</v>
      </c>
      <c r="N9" s="5" t="s">
        <v>163</v>
      </c>
      <c r="O9" t="s">
        <v>131</v>
      </c>
      <c r="P9" s="5" t="s">
        <v>131</v>
      </c>
      <c r="Q9" s="5" t="s">
        <v>131</v>
      </c>
      <c r="R9" s="5" t="s">
        <v>131</v>
      </c>
      <c r="S9" s="5" t="s">
        <v>76</v>
      </c>
      <c r="T9" s="5" t="s">
        <v>131</v>
      </c>
      <c r="U9" s="5" t="s">
        <v>131</v>
      </c>
      <c r="V9" s="6" t="s">
        <v>230</v>
      </c>
      <c r="W9" s="5" t="s">
        <v>164</v>
      </c>
      <c r="X9" s="5" t="s">
        <v>259</v>
      </c>
      <c r="Y9" s="5" t="s">
        <v>145</v>
      </c>
      <c r="Z9" t="s">
        <v>196</v>
      </c>
      <c r="AA9" s="6" t="s">
        <v>256</v>
      </c>
      <c r="AB9" s="5" t="s">
        <v>131</v>
      </c>
      <c r="AC9" s="5" t="s">
        <v>131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157</v>
      </c>
      <c r="F10" t="s">
        <v>157</v>
      </c>
      <c r="G10" s="5" t="s">
        <v>131</v>
      </c>
      <c r="H10" s="5" t="s">
        <v>76</v>
      </c>
      <c r="I10" s="5" t="s">
        <v>131</v>
      </c>
      <c r="J10" s="5" t="s">
        <v>76</v>
      </c>
      <c r="K10" s="5" t="s">
        <v>139</v>
      </c>
      <c r="L10" s="5" t="s">
        <v>397</v>
      </c>
      <c r="M10" s="5" t="s">
        <v>225</v>
      </c>
      <c r="N10" s="5" t="s">
        <v>163</v>
      </c>
      <c r="O10" t="s">
        <v>131</v>
      </c>
      <c r="P10" s="5" t="s">
        <v>131</v>
      </c>
      <c r="Q10" s="5" t="s">
        <v>131</v>
      </c>
      <c r="R10" s="5" t="s">
        <v>133</v>
      </c>
      <c r="S10" s="5" t="s">
        <v>131</v>
      </c>
      <c r="T10" s="5" t="s">
        <v>131</v>
      </c>
      <c r="U10" s="5" t="s">
        <v>131</v>
      </c>
      <c r="V10" s="5" t="s">
        <v>182</v>
      </c>
      <c r="W10" s="5" t="s">
        <v>131</v>
      </c>
      <c r="X10" s="5" t="s">
        <v>131</v>
      </c>
      <c r="Y10" s="5" t="s">
        <v>145</v>
      </c>
      <c r="Z10" t="s">
        <v>196</v>
      </c>
      <c r="AA10" s="6" t="s">
        <v>217</v>
      </c>
      <c r="AB10" s="5" t="s">
        <v>131</v>
      </c>
      <c r="AC10" s="5" t="s">
        <v>292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157</v>
      </c>
      <c r="F11" t="s">
        <v>157</v>
      </c>
      <c r="G11" s="5" t="s">
        <v>131</v>
      </c>
      <c r="H11" s="5" t="s">
        <v>76</v>
      </c>
      <c r="I11" s="5" t="s">
        <v>131</v>
      </c>
      <c r="J11" s="5" t="s">
        <v>76</v>
      </c>
      <c r="K11" t="s">
        <v>207</v>
      </c>
      <c r="L11" s="6" t="s">
        <v>136</v>
      </c>
      <c r="M11" t="s">
        <v>294</v>
      </c>
      <c r="N11" s="5" t="s">
        <v>163</v>
      </c>
      <c r="O11" t="s">
        <v>131</v>
      </c>
      <c r="P11" s="5" t="s">
        <v>131</v>
      </c>
      <c r="Q11" s="5" t="s">
        <v>131</v>
      </c>
      <c r="R11" s="5" t="s">
        <v>76</v>
      </c>
      <c r="S11" s="5" t="s">
        <v>133</v>
      </c>
      <c r="T11" s="5" t="s">
        <v>131</v>
      </c>
      <c r="U11" s="5" t="s">
        <v>131</v>
      </c>
      <c r="V11" s="5" t="s">
        <v>182</v>
      </c>
      <c r="W11" s="5" t="s">
        <v>285</v>
      </c>
      <c r="X11" s="5" t="s">
        <v>291</v>
      </c>
      <c r="Y11" s="5" t="s">
        <v>138</v>
      </c>
      <c r="Z11" t="s">
        <v>170</v>
      </c>
      <c r="AA11" s="5" t="s">
        <v>217</v>
      </c>
      <c r="AB11" s="5" t="s">
        <v>76</v>
      </c>
      <c r="AC11" s="5" t="s">
        <v>292</v>
      </c>
      <c r="AD11" s="5" t="s">
        <v>293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321</v>
      </c>
      <c r="F12" t="s">
        <v>321</v>
      </c>
      <c r="G12" t="s">
        <v>131</v>
      </c>
      <c r="H12" s="5" t="s">
        <v>76</v>
      </c>
      <c r="I12" t="s">
        <v>131</v>
      </c>
      <c r="J12" t="s">
        <v>76</v>
      </c>
      <c r="K12" t="s">
        <v>139</v>
      </c>
      <c r="L12" s="4" t="s">
        <v>136</v>
      </c>
      <c r="M12" t="s">
        <v>168</v>
      </c>
      <c r="N12" s="6" t="s">
        <v>163</v>
      </c>
      <c r="O12" t="s">
        <v>131</v>
      </c>
      <c r="P12" t="s">
        <v>133</v>
      </c>
      <c r="Q12" t="s">
        <v>131</v>
      </c>
      <c r="R12" t="s">
        <v>131</v>
      </c>
      <c r="S12" t="s">
        <v>133</v>
      </c>
      <c r="T12" t="s">
        <v>131</v>
      </c>
      <c r="U12" t="s">
        <v>131</v>
      </c>
      <c r="V12" s="6" t="s">
        <v>230</v>
      </c>
      <c r="W12" t="s">
        <v>164</v>
      </c>
      <c r="X12" t="s">
        <v>131</v>
      </c>
      <c r="Y12" t="s">
        <v>145</v>
      </c>
      <c r="Z12" t="s">
        <v>165</v>
      </c>
      <c r="AA12" s="6" t="s">
        <v>217</v>
      </c>
      <c r="AB12" t="s">
        <v>76</v>
      </c>
      <c r="AC12" t="s">
        <v>166</v>
      </c>
      <c r="AD12" t="s">
        <v>167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212</v>
      </c>
      <c r="F13" s="5" t="s">
        <v>212</v>
      </c>
      <c r="G13" s="5" t="s">
        <v>131</v>
      </c>
      <c r="H13" s="5" t="s">
        <v>76</v>
      </c>
      <c r="I13" s="5" t="s">
        <v>131</v>
      </c>
      <c r="J13" s="5" t="s">
        <v>76</v>
      </c>
      <c r="K13" s="5" t="s">
        <v>153</v>
      </c>
      <c r="L13" s="5" t="s">
        <v>396</v>
      </c>
      <c r="M13" s="5" t="s">
        <v>169</v>
      </c>
      <c r="N13" s="5" t="s">
        <v>143</v>
      </c>
      <c r="O13" s="5" t="s">
        <v>131</v>
      </c>
      <c r="P13" s="5" t="s">
        <v>131</v>
      </c>
      <c r="Q13" s="5" t="s">
        <v>131</v>
      </c>
      <c r="R13" s="5" t="s">
        <v>133</v>
      </c>
      <c r="S13" s="5" t="s">
        <v>131</v>
      </c>
      <c r="T13" s="5" t="s">
        <v>131</v>
      </c>
      <c r="U13" s="5" t="s">
        <v>131</v>
      </c>
      <c r="V13" s="6" t="s">
        <v>230</v>
      </c>
      <c r="W13" s="5" t="s">
        <v>131</v>
      </c>
      <c r="X13" s="5" t="s">
        <v>131</v>
      </c>
      <c r="Y13" s="5" t="s">
        <v>145</v>
      </c>
      <c r="Z13" s="5" t="s">
        <v>165</v>
      </c>
      <c r="AA13" s="5" t="s">
        <v>131</v>
      </c>
      <c r="AB13" s="5" t="s">
        <v>76</v>
      </c>
      <c r="AC13" s="5" t="s">
        <v>131</v>
      </c>
      <c r="AD13" s="5" t="s">
        <v>171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332</v>
      </c>
      <c r="F14" s="5" t="s">
        <v>324</v>
      </c>
      <c r="G14" s="5" t="s">
        <v>131</v>
      </c>
      <c r="H14" s="5" t="s">
        <v>76</v>
      </c>
      <c r="I14" s="5" t="s">
        <v>131</v>
      </c>
      <c r="J14" s="5" t="s">
        <v>76</v>
      </c>
      <c r="K14" s="5" t="s">
        <v>139</v>
      </c>
      <c r="L14" s="6" t="s">
        <v>136</v>
      </c>
      <c r="M14" s="5" t="s">
        <v>176</v>
      </c>
      <c r="N14" t="s">
        <v>163</v>
      </c>
      <c r="O14" s="5" t="s">
        <v>131</v>
      </c>
      <c r="P14" s="5" t="s">
        <v>133</v>
      </c>
      <c r="Q14" s="5" t="s">
        <v>131</v>
      </c>
      <c r="R14" s="5" t="s">
        <v>131</v>
      </c>
      <c r="S14" s="5" t="s">
        <v>133</v>
      </c>
      <c r="T14" s="5" t="s">
        <v>131</v>
      </c>
      <c r="U14" s="5" t="s">
        <v>133</v>
      </c>
      <c r="V14" s="6" t="s">
        <v>230</v>
      </c>
      <c r="W14" s="5" t="s">
        <v>164</v>
      </c>
      <c r="X14" t="s">
        <v>175</v>
      </c>
      <c r="Y14" t="s">
        <v>138</v>
      </c>
      <c r="Z14" s="5" t="s">
        <v>165</v>
      </c>
      <c r="AA14" s="5" t="s">
        <v>131</v>
      </c>
      <c r="AB14" s="5" t="s">
        <v>133</v>
      </c>
      <c r="AC14" s="5" t="s">
        <v>131</v>
      </c>
    </row>
    <row r="15" spans="1:37" x14ac:dyDescent="0.25">
      <c r="A15" t="s">
        <v>76</v>
      </c>
      <c r="B15" t="s">
        <v>395</v>
      </c>
      <c r="C15" t="s">
        <v>125</v>
      </c>
      <c r="D15">
        <v>2015</v>
      </c>
      <c r="E15" t="s">
        <v>157</v>
      </c>
      <c r="F15" t="s">
        <v>157</v>
      </c>
      <c r="G15" s="5" t="s">
        <v>133</v>
      </c>
      <c r="H15" s="5" t="s">
        <v>76</v>
      </c>
      <c r="I15" s="5" t="s">
        <v>131</v>
      </c>
      <c r="J15" s="5" t="s">
        <v>76</v>
      </c>
      <c r="K15" s="5" t="s">
        <v>139</v>
      </c>
      <c r="L15" s="5" t="s">
        <v>281</v>
      </c>
      <c r="M15" s="5" t="s">
        <v>178</v>
      </c>
      <c r="N15" t="s">
        <v>163</v>
      </c>
      <c r="O15" s="5" t="s">
        <v>131</v>
      </c>
      <c r="P15" s="5" t="s">
        <v>133</v>
      </c>
      <c r="Q15" s="5" t="s">
        <v>131</v>
      </c>
      <c r="R15" s="5" t="s">
        <v>76</v>
      </c>
      <c r="S15" s="5" t="s">
        <v>133</v>
      </c>
      <c r="T15" s="5" t="s">
        <v>131</v>
      </c>
      <c r="U15" s="5" t="s">
        <v>133</v>
      </c>
      <c r="V15" s="5" t="s">
        <v>182</v>
      </c>
      <c r="W15" s="5" t="s">
        <v>184</v>
      </c>
      <c r="X15" t="s">
        <v>183</v>
      </c>
      <c r="Y15" t="s">
        <v>145</v>
      </c>
      <c r="Z15" t="s">
        <v>165</v>
      </c>
      <c r="AA15" s="6" t="s">
        <v>217</v>
      </c>
      <c r="AB15" s="5" t="s">
        <v>133</v>
      </c>
      <c r="AC15" s="5" t="s">
        <v>131</v>
      </c>
      <c r="AD15" s="5" t="s">
        <v>185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157</v>
      </c>
      <c r="F16" t="s">
        <v>157</v>
      </c>
      <c r="G16" s="5" t="s">
        <v>76</v>
      </c>
      <c r="H16" s="5" t="s">
        <v>76</v>
      </c>
      <c r="I16" s="5" t="s">
        <v>76</v>
      </c>
      <c r="J16" s="5" t="s">
        <v>131</v>
      </c>
      <c r="K16" s="5" t="s">
        <v>153</v>
      </c>
      <c r="L16" s="6" t="s">
        <v>136</v>
      </c>
      <c r="M16" s="5" t="s">
        <v>131</v>
      </c>
      <c r="N16" s="6" t="s">
        <v>163</v>
      </c>
      <c r="O16" t="s">
        <v>187</v>
      </c>
      <c r="P16" s="5" t="s">
        <v>133</v>
      </c>
      <c r="Q16" s="5" t="s">
        <v>131</v>
      </c>
      <c r="R16" s="5" t="s">
        <v>133</v>
      </c>
      <c r="S16" s="5" t="s">
        <v>76</v>
      </c>
      <c r="T16" s="5" t="s">
        <v>133</v>
      </c>
      <c r="U16" s="5" t="s">
        <v>131</v>
      </c>
      <c r="V16" s="5" t="s">
        <v>204</v>
      </c>
      <c r="W16" s="5" t="s">
        <v>186</v>
      </c>
      <c r="X16" t="s">
        <v>373</v>
      </c>
      <c r="Y16" t="s">
        <v>158</v>
      </c>
      <c r="Z16" t="s">
        <v>196</v>
      </c>
      <c r="AA16" s="5" t="s">
        <v>131</v>
      </c>
      <c r="AB16" s="5" t="s">
        <v>131</v>
      </c>
      <c r="AC16" s="5" t="s">
        <v>131</v>
      </c>
      <c r="AD16" t="s">
        <v>191</v>
      </c>
      <c r="AE16" t="s">
        <v>198</v>
      </c>
    </row>
    <row r="17" spans="1:31" x14ac:dyDescent="0.25">
      <c r="A17" t="s">
        <v>76</v>
      </c>
      <c r="B17" s="8" t="s">
        <v>12</v>
      </c>
      <c r="C17" t="s">
        <v>188</v>
      </c>
      <c r="D17">
        <v>2015</v>
      </c>
      <c r="E17" t="s">
        <v>157</v>
      </c>
      <c r="F17" t="s">
        <v>157</v>
      </c>
      <c r="G17" s="5" t="s">
        <v>76</v>
      </c>
      <c r="H17" s="5" t="s">
        <v>76</v>
      </c>
      <c r="I17" s="5" t="s">
        <v>76</v>
      </c>
      <c r="J17" s="5" t="s">
        <v>131</v>
      </c>
      <c r="K17" s="5" t="s">
        <v>146</v>
      </c>
      <c r="L17" s="6" t="s">
        <v>136</v>
      </c>
      <c r="M17" s="5" t="s">
        <v>131</v>
      </c>
      <c r="N17" s="6" t="s">
        <v>163</v>
      </c>
      <c r="O17" t="s">
        <v>192</v>
      </c>
      <c r="P17" s="5" t="s">
        <v>131</v>
      </c>
      <c r="Q17" s="5" t="s">
        <v>131</v>
      </c>
      <c r="R17" s="5" t="s">
        <v>133</v>
      </c>
      <c r="S17" s="5" t="s">
        <v>76</v>
      </c>
      <c r="T17" s="5" t="s">
        <v>76</v>
      </c>
      <c r="U17" s="5" t="s">
        <v>131</v>
      </c>
      <c r="V17" t="s">
        <v>193</v>
      </c>
      <c r="W17" s="5" t="s">
        <v>195</v>
      </c>
      <c r="X17" t="s">
        <v>197</v>
      </c>
      <c r="Y17" t="s">
        <v>158</v>
      </c>
      <c r="Z17" t="s">
        <v>196</v>
      </c>
      <c r="AA17" s="5" t="s">
        <v>131</v>
      </c>
      <c r="AB17" s="5" t="s">
        <v>131</v>
      </c>
      <c r="AC17" s="5" t="s">
        <v>131</v>
      </c>
      <c r="AD17" t="s">
        <v>200</v>
      </c>
      <c r="AE17" t="s">
        <v>198</v>
      </c>
    </row>
    <row r="18" spans="1:31" x14ac:dyDescent="0.25">
      <c r="A18" t="s">
        <v>76</v>
      </c>
      <c r="B18" s="8" t="s">
        <v>189</v>
      </c>
      <c r="C18" t="s">
        <v>190</v>
      </c>
      <c r="D18">
        <v>2015</v>
      </c>
      <c r="E18" t="s">
        <v>157</v>
      </c>
      <c r="F18" t="s">
        <v>157</v>
      </c>
      <c r="G18" s="5" t="s">
        <v>76</v>
      </c>
      <c r="H18" s="5" t="s">
        <v>76</v>
      </c>
      <c r="I18" s="5" t="s">
        <v>76</v>
      </c>
      <c r="J18" s="5" t="s">
        <v>131</v>
      </c>
      <c r="K18" s="5" t="s">
        <v>153</v>
      </c>
      <c r="L18" s="6" t="s">
        <v>136</v>
      </c>
      <c r="M18" s="5" t="s">
        <v>131</v>
      </c>
      <c r="N18" s="6" t="s">
        <v>163</v>
      </c>
      <c r="O18" t="s">
        <v>131</v>
      </c>
      <c r="P18" s="5" t="s">
        <v>131</v>
      </c>
      <c r="Q18" s="5" t="s">
        <v>131</v>
      </c>
      <c r="R18" s="5" t="s">
        <v>76</v>
      </c>
      <c r="S18" s="5" t="s">
        <v>76</v>
      </c>
      <c r="T18" s="5" t="s">
        <v>131</v>
      </c>
      <c r="U18" s="5" t="s">
        <v>131</v>
      </c>
      <c r="V18" t="s">
        <v>193</v>
      </c>
      <c r="W18" s="5" t="s">
        <v>164</v>
      </c>
      <c r="X18" t="s">
        <v>374</v>
      </c>
      <c r="Y18" t="s">
        <v>158</v>
      </c>
      <c r="Z18" t="s">
        <v>196</v>
      </c>
      <c r="AA18" s="5" t="s">
        <v>131</v>
      </c>
      <c r="AB18" s="5" t="s">
        <v>131</v>
      </c>
      <c r="AC18" s="5" t="s">
        <v>131</v>
      </c>
      <c r="AD18" t="s">
        <v>199</v>
      </c>
      <c r="AE18" t="s">
        <v>198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331</v>
      </c>
      <c r="F19" t="s">
        <v>325</v>
      </c>
      <c r="G19" s="5" t="s">
        <v>131</v>
      </c>
      <c r="H19" s="5" t="s">
        <v>76</v>
      </c>
      <c r="I19" s="5" t="s">
        <v>131</v>
      </c>
      <c r="J19" s="5" t="s">
        <v>76</v>
      </c>
      <c r="K19" s="5" t="s">
        <v>139</v>
      </c>
      <c r="L19" s="5" t="s">
        <v>396</v>
      </c>
      <c r="M19" s="5" t="s">
        <v>202</v>
      </c>
      <c r="N19" s="6" t="s">
        <v>163</v>
      </c>
      <c r="O19" t="s">
        <v>201</v>
      </c>
      <c r="P19" s="5" t="s">
        <v>133</v>
      </c>
      <c r="Q19" s="5" t="s">
        <v>133</v>
      </c>
      <c r="R19" s="5" t="s">
        <v>131</v>
      </c>
      <c r="S19" s="5" t="s">
        <v>131</v>
      </c>
      <c r="T19" s="5" t="s">
        <v>131</v>
      </c>
      <c r="U19" s="5" t="s">
        <v>131</v>
      </c>
      <c r="V19" s="6" t="s">
        <v>230</v>
      </c>
      <c r="W19" s="5" t="s">
        <v>131</v>
      </c>
      <c r="X19" s="5" t="s">
        <v>131</v>
      </c>
      <c r="Y19" t="s">
        <v>145</v>
      </c>
      <c r="Z19" t="s">
        <v>165</v>
      </c>
      <c r="AA19" s="6" t="s">
        <v>255</v>
      </c>
      <c r="AB19" s="5" t="s">
        <v>76</v>
      </c>
      <c r="AC19" s="5" t="s">
        <v>131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157</v>
      </c>
      <c r="F20" t="s">
        <v>157</v>
      </c>
      <c r="G20" s="5" t="s">
        <v>131</v>
      </c>
      <c r="H20" s="5" t="s">
        <v>76</v>
      </c>
      <c r="I20" s="5" t="s">
        <v>76</v>
      </c>
      <c r="J20" s="5" t="s">
        <v>131</v>
      </c>
      <c r="K20" s="5" t="s">
        <v>153</v>
      </c>
      <c r="L20" s="6" t="s">
        <v>397</v>
      </c>
      <c r="M20" s="5" t="s">
        <v>243</v>
      </c>
      <c r="N20" s="5" t="s">
        <v>163</v>
      </c>
      <c r="O20" t="s">
        <v>131</v>
      </c>
      <c r="P20" s="5" t="s">
        <v>131</v>
      </c>
      <c r="R20" s="5" t="s">
        <v>133</v>
      </c>
      <c r="S20" s="5" t="s">
        <v>133</v>
      </c>
      <c r="T20" s="5" t="s">
        <v>133</v>
      </c>
      <c r="U20" s="5" t="s">
        <v>131</v>
      </c>
      <c r="V20" s="6" t="s">
        <v>230</v>
      </c>
      <c r="W20" s="5" t="s">
        <v>164</v>
      </c>
      <c r="X20" t="s">
        <v>183</v>
      </c>
      <c r="Y20" s="5" t="s">
        <v>145</v>
      </c>
      <c r="Z20" t="s">
        <v>170</v>
      </c>
      <c r="AA20" s="6" t="s">
        <v>217</v>
      </c>
      <c r="AB20" s="5" t="s">
        <v>131</v>
      </c>
      <c r="AC20" s="5" t="s">
        <v>320</v>
      </c>
      <c r="AD20" t="s">
        <v>246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157</v>
      </c>
      <c r="F21" t="s">
        <v>157</v>
      </c>
      <c r="G21" s="5" t="s">
        <v>131</v>
      </c>
      <c r="H21" s="5" t="s">
        <v>76</v>
      </c>
      <c r="I21" s="5" t="s">
        <v>76</v>
      </c>
      <c r="J21" s="5" t="s">
        <v>131</v>
      </c>
      <c r="K21" s="5" t="s">
        <v>223</v>
      </c>
      <c r="L21" s="6" t="s">
        <v>136</v>
      </c>
      <c r="M21" t="s">
        <v>155</v>
      </c>
      <c r="N21" s="5" t="s">
        <v>163</v>
      </c>
      <c r="O21" t="s">
        <v>131</v>
      </c>
      <c r="P21" s="5" t="s">
        <v>131</v>
      </c>
      <c r="Q21" s="5" t="s">
        <v>131</v>
      </c>
      <c r="R21" s="5" t="s">
        <v>76</v>
      </c>
      <c r="S21" s="5" t="s">
        <v>133</v>
      </c>
      <c r="T21" s="5" t="s">
        <v>131</v>
      </c>
      <c r="U21" s="5" t="s">
        <v>131</v>
      </c>
      <c r="V21" s="5" t="s">
        <v>247</v>
      </c>
      <c r="W21" s="5" t="s">
        <v>131</v>
      </c>
      <c r="X21" s="5" t="s">
        <v>177</v>
      </c>
      <c r="Y21" s="5" t="s">
        <v>158</v>
      </c>
      <c r="Z21" s="5" t="s">
        <v>165</v>
      </c>
      <c r="AA21" s="5" t="s">
        <v>131</v>
      </c>
      <c r="AB21" s="5" t="s">
        <v>131</v>
      </c>
      <c r="AC21" s="5" t="s">
        <v>131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157</v>
      </c>
      <c r="F22" t="s">
        <v>157</v>
      </c>
      <c r="G22" s="5" t="s">
        <v>131</v>
      </c>
      <c r="H22" s="5" t="s">
        <v>76</v>
      </c>
      <c r="I22" s="5" t="s">
        <v>76</v>
      </c>
      <c r="J22" s="5" t="s">
        <v>131</v>
      </c>
      <c r="K22" s="5" t="s">
        <v>153</v>
      </c>
      <c r="L22" s="5" t="s">
        <v>281</v>
      </c>
      <c r="M22" t="s">
        <v>155</v>
      </c>
      <c r="N22" s="5" t="s">
        <v>143</v>
      </c>
      <c r="O22" t="s">
        <v>131</v>
      </c>
      <c r="P22" s="5" t="s">
        <v>131</v>
      </c>
      <c r="Q22" s="5" t="s">
        <v>131</v>
      </c>
      <c r="R22" s="5" t="s">
        <v>133</v>
      </c>
      <c r="S22" s="5" t="s">
        <v>131</v>
      </c>
      <c r="T22" s="5" t="s">
        <v>131</v>
      </c>
      <c r="U22" s="5" t="s">
        <v>131</v>
      </c>
      <c r="V22" s="6" t="s">
        <v>247</v>
      </c>
      <c r="W22" s="5" t="s">
        <v>203</v>
      </c>
      <c r="X22" s="5" t="s">
        <v>131</v>
      </c>
      <c r="Y22" s="5" t="s">
        <v>138</v>
      </c>
      <c r="Z22" t="s">
        <v>261</v>
      </c>
      <c r="AA22" s="5" t="s">
        <v>131</v>
      </c>
      <c r="AB22" s="5" t="s">
        <v>76</v>
      </c>
      <c r="AC22" s="5" t="s">
        <v>131</v>
      </c>
    </row>
    <row r="23" spans="1:31" x14ac:dyDescent="0.25">
      <c r="A23" t="s">
        <v>76</v>
      </c>
      <c r="B23" t="s">
        <v>304</v>
      </c>
      <c r="C23" t="s">
        <v>303</v>
      </c>
      <c r="D23">
        <v>2015</v>
      </c>
      <c r="E23" t="s">
        <v>157</v>
      </c>
      <c r="F23" t="s">
        <v>157</v>
      </c>
      <c r="G23" s="5" t="s">
        <v>131</v>
      </c>
      <c r="H23" s="5" t="s">
        <v>76</v>
      </c>
      <c r="I23" s="5" t="s">
        <v>76</v>
      </c>
      <c r="J23" s="5" t="s">
        <v>131</v>
      </c>
      <c r="K23" s="5" t="s">
        <v>223</v>
      </c>
      <c r="L23" s="6" t="s">
        <v>136</v>
      </c>
      <c r="M23" s="5" t="s">
        <v>319</v>
      </c>
      <c r="N23" s="5" t="s">
        <v>163</v>
      </c>
      <c r="O23" t="s">
        <v>131</v>
      </c>
      <c r="P23" s="5" t="s">
        <v>131</v>
      </c>
      <c r="Q23" s="5" t="s">
        <v>131</v>
      </c>
      <c r="R23" s="5" t="s">
        <v>133</v>
      </c>
      <c r="S23" s="5" t="s">
        <v>133</v>
      </c>
      <c r="T23" s="5" t="s">
        <v>131</v>
      </c>
      <c r="U23" s="5" t="s">
        <v>131</v>
      </c>
      <c r="V23" t="s">
        <v>317</v>
      </c>
      <c r="W23" s="5" t="s">
        <v>203</v>
      </c>
      <c r="X23" s="5" t="s">
        <v>131</v>
      </c>
      <c r="Y23" s="5" t="s">
        <v>138</v>
      </c>
      <c r="Z23" s="5" t="s">
        <v>165</v>
      </c>
      <c r="AA23" s="5" t="s">
        <v>131</v>
      </c>
      <c r="AB23" s="5" t="s">
        <v>131</v>
      </c>
      <c r="AC23" s="5" t="s">
        <v>318</v>
      </c>
      <c r="AD23" t="s">
        <v>316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321</v>
      </c>
      <c r="F24" t="s">
        <v>321</v>
      </c>
      <c r="G24" t="s">
        <v>131</v>
      </c>
      <c r="H24" s="5" t="s">
        <v>76</v>
      </c>
      <c r="I24" t="s">
        <v>131</v>
      </c>
      <c r="J24" t="s">
        <v>76</v>
      </c>
      <c r="K24" t="s">
        <v>146</v>
      </c>
      <c r="L24" s="4" t="s">
        <v>136</v>
      </c>
      <c r="M24" t="s">
        <v>148</v>
      </c>
      <c r="N24" t="s">
        <v>149</v>
      </c>
      <c r="O24" t="s">
        <v>131</v>
      </c>
      <c r="P24" t="s">
        <v>131</v>
      </c>
      <c r="Q24" t="s">
        <v>131</v>
      </c>
      <c r="R24" t="s">
        <v>131</v>
      </c>
      <c r="S24" t="s">
        <v>131</v>
      </c>
      <c r="T24" t="s">
        <v>131</v>
      </c>
      <c r="U24" t="s">
        <v>131</v>
      </c>
      <c r="V24" t="s">
        <v>348</v>
      </c>
      <c r="W24" t="s">
        <v>131</v>
      </c>
      <c r="X24" t="s">
        <v>131</v>
      </c>
      <c r="Y24" t="s">
        <v>145</v>
      </c>
      <c r="Z24" t="s">
        <v>170</v>
      </c>
      <c r="AA24" t="s">
        <v>131</v>
      </c>
      <c r="AB24" t="s">
        <v>131</v>
      </c>
      <c r="AC24" t="s">
        <v>147</v>
      </c>
      <c r="AD24" t="s">
        <v>152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157</v>
      </c>
      <c r="F25" t="s">
        <v>157</v>
      </c>
      <c r="G25" s="5" t="s">
        <v>133</v>
      </c>
      <c r="H25" s="5" t="s">
        <v>76</v>
      </c>
      <c r="I25" s="5" t="s">
        <v>131</v>
      </c>
      <c r="J25" s="5" t="s">
        <v>76</v>
      </c>
      <c r="K25" s="5" t="s">
        <v>146</v>
      </c>
      <c r="L25" s="6" t="s">
        <v>136</v>
      </c>
      <c r="M25" s="5" t="s">
        <v>180</v>
      </c>
      <c r="N25" t="s">
        <v>163</v>
      </c>
      <c r="O25" s="5" t="s">
        <v>131</v>
      </c>
      <c r="P25" s="5" t="s">
        <v>131</v>
      </c>
      <c r="Q25" s="5" t="s">
        <v>131</v>
      </c>
      <c r="R25" s="5" t="s">
        <v>131</v>
      </c>
      <c r="S25" s="5" t="s">
        <v>131</v>
      </c>
      <c r="T25" s="5" t="s">
        <v>131</v>
      </c>
      <c r="U25" s="5" t="s">
        <v>131</v>
      </c>
      <c r="V25" s="6" t="s">
        <v>230</v>
      </c>
      <c r="W25" s="5" t="s">
        <v>179</v>
      </c>
      <c r="X25" s="5" t="s">
        <v>131</v>
      </c>
      <c r="Y25" t="s">
        <v>145</v>
      </c>
      <c r="Z25" t="s">
        <v>159</v>
      </c>
      <c r="AA25" s="5" t="s">
        <v>131</v>
      </c>
      <c r="AB25" s="5" t="s">
        <v>76</v>
      </c>
      <c r="AC25" t="s">
        <v>131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333</v>
      </c>
      <c r="F26" s="5" t="s">
        <v>250</v>
      </c>
      <c r="G26" s="5" t="s">
        <v>131</v>
      </c>
      <c r="H26" s="5" t="s">
        <v>76</v>
      </c>
      <c r="I26" s="5" t="s">
        <v>76</v>
      </c>
      <c r="J26" s="5" t="s">
        <v>131</v>
      </c>
      <c r="K26" s="5" t="s">
        <v>223</v>
      </c>
      <c r="L26" s="6" t="s">
        <v>136</v>
      </c>
      <c r="M26" s="5" t="s">
        <v>220</v>
      </c>
      <c r="N26" s="5" t="s">
        <v>163</v>
      </c>
      <c r="O26" s="5" t="s">
        <v>131</v>
      </c>
      <c r="P26" s="5" t="s">
        <v>131</v>
      </c>
      <c r="Q26" s="5" t="s">
        <v>131</v>
      </c>
      <c r="R26" s="5" t="s">
        <v>76</v>
      </c>
      <c r="S26" s="5" t="s">
        <v>131</v>
      </c>
      <c r="T26" s="5" t="s">
        <v>76</v>
      </c>
      <c r="U26" s="5" t="s">
        <v>131</v>
      </c>
      <c r="V26" s="5" t="s">
        <v>182</v>
      </c>
      <c r="W26" s="5" t="s">
        <v>219</v>
      </c>
      <c r="X26" s="5" t="s">
        <v>131</v>
      </c>
      <c r="Y26" s="5" t="s">
        <v>158</v>
      </c>
      <c r="Z26" s="5" t="s">
        <v>165</v>
      </c>
      <c r="AA26" s="5" t="s">
        <v>131</v>
      </c>
      <c r="AB26" s="5" t="s">
        <v>76</v>
      </c>
      <c r="AC26" s="5" t="s">
        <v>221</v>
      </c>
      <c r="AD26" s="5" t="s">
        <v>222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157</v>
      </c>
      <c r="F27" t="s">
        <v>157</v>
      </c>
      <c r="G27" s="5" t="s">
        <v>131</v>
      </c>
      <c r="H27" s="5" t="s">
        <v>76</v>
      </c>
      <c r="I27" s="5" t="s">
        <v>76</v>
      </c>
      <c r="J27" s="5" t="s">
        <v>131</v>
      </c>
      <c r="K27" s="5" t="s">
        <v>223</v>
      </c>
      <c r="L27" s="12" t="s">
        <v>281</v>
      </c>
      <c r="M27" s="5" t="s">
        <v>225</v>
      </c>
      <c r="N27" s="5" t="s">
        <v>163</v>
      </c>
      <c r="O27" t="s">
        <v>131</v>
      </c>
      <c r="P27" s="5" t="s">
        <v>131</v>
      </c>
      <c r="Q27" s="5" t="s">
        <v>131</v>
      </c>
      <c r="R27" s="5" t="s">
        <v>76</v>
      </c>
      <c r="S27" s="5" t="s">
        <v>76</v>
      </c>
      <c r="T27" s="5" t="s">
        <v>131</v>
      </c>
      <c r="U27" s="5" t="s">
        <v>131</v>
      </c>
      <c r="V27" s="6" t="s">
        <v>230</v>
      </c>
      <c r="W27" t="s">
        <v>206</v>
      </c>
      <c r="X27" t="s">
        <v>231</v>
      </c>
      <c r="Y27" s="5" t="s">
        <v>138</v>
      </c>
      <c r="Z27" s="5" t="s">
        <v>165</v>
      </c>
      <c r="AA27" s="6" t="s">
        <v>256</v>
      </c>
      <c r="AB27" s="5" t="s">
        <v>131</v>
      </c>
      <c r="AC27" s="5" t="s">
        <v>131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212</v>
      </c>
      <c r="F28" t="s">
        <v>212</v>
      </c>
      <c r="G28" s="5" t="s">
        <v>131</v>
      </c>
      <c r="H28" s="5" t="s">
        <v>76</v>
      </c>
      <c r="I28" s="5" t="s">
        <v>76</v>
      </c>
      <c r="J28" s="5" t="s">
        <v>131</v>
      </c>
      <c r="K28" s="5" t="s">
        <v>223</v>
      </c>
      <c r="L28" s="5" t="s">
        <v>397</v>
      </c>
      <c r="M28" s="5" t="s">
        <v>240</v>
      </c>
      <c r="N28" s="5" t="s">
        <v>163</v>
      </c>
      <c r="O28" t="s">
        <v>131</v>
      </c>
      <c r="P28" s="5" t="s">
        <v>131</v>
      </c>
      <c r="Q28" s="5" t="s">
        <v>131</v>
      </c>
      <c r="R28" s="5" t="s">
        <v>133</v>
      </c>
      <c r="S28" s="5" t="s">
        <v>131</v>
      </c>
      <c r="T28" s="5" t="s">
        <v>131</v>
      </c>
      <c r="U28" s="5" t="s">
        <v>131</v>
      </c>
      <c r="V28" s="6" t="s">
        <v>230</v>
      </c>
      <c r="W28" s="5" t="s">
        <v>131</v>
      </c>
      <c r="X28" s="5" t="s">
        <v>131</v>
      </c>
      <c r="Y28" s="5" t="s">
        <v>145</v>
      </c>
      <c r="Z28" t="s">
        <v>196</v>
      </c>
      <c r="AA28" s="6" t="s">
        <v>256</v>
      </c>
      <c r="AB28" s="5" t="s">
        <v>133</v>
      </c>
      <c r="AC28" s="5" t="s">
        <v>241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332</v>
      </c>
      <c r="F29" t="s">
        <v>262</v>
      </c>
      <c r="G29" s="5" t="s">
        <v>131</v>
      </c>
      <c r="H29" s="5" t="s">
        <v>76</v>
      </c>
      <c r="I29" s="5" t="s">
        <v>131</v>
      </c>
      <c r="J29" s="5" t="s">
        <v>76</v>
      </c>
      <c r="K29" s="5" t="s">
        <v>139</v>
      </c>
      <c r="L29" s="6" t="s">
        <v>136</v>
      </c>
      <c r="M29" s="5" t="s">
        <v>386</v>
      </c>
      <c r="N29" s="5" t="s">
        <v>163</v>
      </c>
      <c r="O29" t="s">
        <v>131</v>
      </c>
      <c r="P29" s="5" t="s">
        <v>131</v>
      </c>
      <c r="Q29" s="5" t="s">
        <v>76</v>
      </c>
      <c r="R29" s="5" t="s">
        <v>76</v>
      </c>
      <c r="S29" s="5" t="s">
        <v>133</v>
      </c>
      <c r="T29" s="5" t="s">
        <v>133</v>
      </c>
      <c r="U29" s="5" t="s">
        <v>131</v>
      </c>
      <c r="V29" t="s">
        <v>247</v>
      </c>
      <c r="W29" s="5" t="s">
        <v>164</v>
      </c>
      <c r="X29" s="5" t="s">
        <v>260</v>
      </c>
      <c r="Y29" s="5" t="s">
        <v>145</v>
      </c>
      <c r="Z29" t="s">
        <v>261</v>
      </c>
      <c r="AA29" s="6" t="s">
        <v>217</v>
      </c>
      <c r="AB29" s="5" t="s">
        <v>76</v>
      </c>
      <c r="AC29" s="5" t="s">
        <v>131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333</v>
      </c>
      <c r="F30" t="s">
        <v>264</v>
      </c>
      <c r="G30" s="5" t="s">
        <v>131</v>
      </c>
      <c r="H30" s="5" t="s">
        <v>76</v>
      </c>
      <c r="I30" s="5" t="s">
        <v>131</v>
      </c>
      <c r="J30" s="5" t="s">
        <v>76</v>
      </c>
      <c r="K30" s="5" t="s">
        <v>139</v>
      </c>
      <c r="L30" s="6" t="s">
        <v>136</v>
      </c>
      <c r="M30" s="5" t="s">
        <v>249</v>
      </c>
      <c r="N30" s="5" t="s">
        <v>163</v>
      </c>
      <c r="O30" t="s">
        <v>131</v>
      </c>
      <c r="P30" s="5" t="s">
        <v>131</v>
      </c>
      <c r="Q30" s="5" t="s">
        <v>131</v>
      </c>
      <c r="R30" s="5" t="s">
        <v>131</v>
      </c>
      <c r="S30" s="5" t="s">
        <v>133</v>
      </c>
      <c r="T30" s="5" t="s">
        <v>76</v>
      </c>
      <c r="U30" s="5" t="s">
        <v>131</v>
      </c>
      <c r="V30" s="6" t="s">
        <v>230</v>
      </c>
      <c r="W30" s="5" t="s">
        <v>263</v>
      </c>
      <c r="X30" s="5" t="s">
        <v>131</v>
      </c>
      <c r="Y30" s="5" t="s">
        <v>145</v>
      </c>
      <c r="Z30" t="s">
        <v>261</v>
      </c>
      <c r="AA30" s="5" t="s">
        <v>131</v>
      </c>
      <c r="AB30" s="5" t="s">
        <v>133</v>
      </c>
      <c r="AC30" s="5" t="s">
        <v>131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265</v>
      </c>
      <c r="F31" t="s">
        <v>265</v>
      </c>
      <c r="G31" s="5" t="s">
        <v>76</v>
      </c>
      <c r="H31" s="5" t="s">
        <v>76</v>
      </c>
      <c r="I31" s="5" t="s">
        <v>133</v>
      </c>
      <c r="J31" s="5" t="s">
        <v>133</v>
      </c>
      <c r="K31" s="5" t="s">
        <v>223</v>
      </c>
      <c r="L31" s="5" t="s">
        <v>281</v>
      </c>
      <c r="M31" s="5" t="s">
        <v>268</v>
      </c>
      <c r="N31" s="5" t="s">
        <v>163</v>
      </c>
      <c r="O31" t="s">
        <v>266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133</v>
      </c>
      <c r="U31" s="5" t="s">
        <v>76</v>
      </c>
      <c r="V31" s="5" t="s">
        <v>204</v>
      </c>
      <c r="W31" s="5" t="s">
        <v>357</v>
      </c>
      <c r="X31" s="5" t="s">
        <v>267</v>
      </c>
      <c r="Y31" s="5" t="s">
        <v>145</v>
      </c>
      <c r="Z31" t="s">
        <v>270</v>
      </c>
      <c r="AA31" s="6" t="s">
        <v>256</v>
      </c>
      <c r="AB31" s="5" t="s">
        <v>131</v>
      </c>
      <c r="AC31" s="5" t="s">
        <v>292</v>
      </c>
      <c r="AD31" s="5" t="s">
        <v>269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265</v>
      </c>
      <c r="F32" t="s">
        <v>265</v>
      </c>
      <c r="G32" s="5" t="s">
        <v>76</v>
      </c>
      <c r="H32" s="5" t="s">
        <v>76</v>
      </c>
      <c r="I32" s="5" t="s">
        <v>133</v>
      </c>
      <c r="J32" s="5" t="s">
        <v>133</v>
      </c>
      <c r="K32" s="5" t="s">
        <v>223</v>
      </c>
      <c r="L32" s="5" t="s">
        <v>396</v>
      </c>
      <c r="M32" s="5" t="s">
        <v>268</v>
      </c>
      <c r="N32" s="5" t="s">
        <v>163</v>
      </c>
      <c r="O32" s="5" t="s">
        <v>131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204</v>
      </c>
      <c r="W32" s="5" t="s">
        <v>357</v>
      </c>
      <c r="X32" s="5" t="s">
        <v>271</v>
      </c>
      <c r="Y32" s="5" t="s">
        <v>145</v>
      </c>
      <c r="Z32" t="s">
        <v>165</v>
      </c>
      <c r="AA32" s="6" t="s">
        <v>256</v>
      </c>
      <c r="AB32" s="5" t="s">
        <v>131</v>
      </c>
      <c r="AC32" s="5" t="s">
        <v>292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157</v>
      </c>
      <c r="F33" t="s">
        <v>157</v>
      </c>
      <c r="G33" s="5" t="s">
        <v>76</v>
      </c>
      <c r="H33" s="5" t="s">
        <v>76</v>
      </c>
      <c r="I33" s="5" t="s">
        <v>76</v>
      </c>
      <c r="J33" s="5" t="s">
        <v>131</v>
      </c>
      <c r="K33" s="5" t="s">
        <v>282</v>
      </c>
      <c r="L33" s="12" t="s">
        <v>281</v>
      </c>
      <c r="M33" t="s">
        <v>283</v>
      </c>
      <c r="N33" s="5" t="s">
        <v>163</v>
      </c>
      <c r="O33" t="s">
        <v>131</v>
      </c>
      <c r="P33" s="5" t="s">
        <v>131</v>
      </c>
      <c r="Q33" s="5" t="s">
        <v>131</v>
      </c>
      <c r="R33" s="5" t="s">
        <v>133</v>
      </c>
      <c r="S33" s="5" t="s">
        <v>76</v>
      </c>
      <c r="T33" s="5" t="s">
        <v>133</v>
      </c>
      <c r="U33" s="5" t="s">
        <v>131</v>
      </c>
      <c r="V33" s="5" t="s">
        <v>204</v>
      </c>
      <c r="W33" s="5" t="s">
        <v>280</v>
      </c>
      <c r="X33" s="5" t="s">
        <v>284</v>
      </c>
      <c r="Y33" s="5" t="s">
        <v>158</v>
      </c>
      <c r="Z33" s="5" t="s">
        <v>165</v>
      </c>
      <c r="AA33" s="5" t="s">
        <v>131</v>
      </c>
      <c r="AB33" s="5" t="s">
        <v>133</v>
      </c>
      <c r="AC33" s="5" t="s">
        <v>131</v>
      </c>
      <c r="AD33" t="s">
        <v>279</v>
      </c>
      <c r="AF33" t="s">
        <v>278</v>
      </c>
    </row>
    <row r="34" spans="1:32" x14ac:dyDescent="0.25">
      <c r="A34" t="s">
        <v>76</v>
      </c>
      <c r="B34" t="s">
        <v>302</v>
      </c>
      <c r="C34" t="s">
        <v>301</v>
      </c>
      <c r="D34">
        <v>2016</v>
      </c>
      <c r="E34" t="s">
        <v>212</v>
      </c>
      <c r="F34" t="s">
        <v>212</v>
      </c>
      <c r="G34" s="5" t="s">
        <v>131</v>
      </c>
      <c r="H34" s="5" t="s">
        <v>76</v>
      </c>
      <c r="I34" s="5" t="s">
        <v>131</v>
      </c>
      <c r="J34" s="5" t="s">
        <v>76</v>
      </c>
      <c r="K34" t="s">
        <v>146</v>
      </c>
      <c r="L34" s="6" t="s">
        <v>136</v>
      </c>
      <c r="M34" t="s">
        <v>288</v>
      </c>
      <c r="N34" s="5" t="s">
        <v>163</v>
      </c>
      <c r="O34" t="s">
        <v>131</v>
      </c>
      <c r="P34" s="5" t="s">
        <v>131</v>
      </c>
      <c r="Q34" s="5" t="s">
        <v>131</v>
      </c>
      <c r="R34" s="5" t="s">
        <v>131</v>
      </c>
      <c r="S34" s="5" t="s">
        <v>133</v>
      </c>
      <c r="T34" s="5" t="s">
        <v>131</v>
      </c>
      <c r="U34" s="5" t="s">
        <v>131</v>
      </c>
      <c r="V34" t="s">
        <v>244</v>
      </c>
      <c r="W34" s="5" t="s">
        <v>131</v>
      </c>
      <c r="X34" s="5" t="s">
        <v>131</v>
      </c>
      <c r="Y34" s="5" t="s">
        <v>145</v>
      </c>
      <c r="Z34" t="s">
        <v>261</v>
      </c>
      <c r="AA34" s="5" t="s">
        <v>131</v>
      </c>
      <c r="AB34" s="5" t="s">
        <v>131</v>
      </c>
      <c r="AC34" s="5" t="s">
        <v>292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157</v>
      </c>
      <c r="F35" t="s">
        <v>157</v>
      </c>
      <c r="G35" t="s">
        <v>131</v>
      </c>
      <c r="H35" s="5" t="s">
        <v>76</v>
      </c>
      <c r="I35" t="s">
        <v>131</v>
      </c>
      <c r="J35" t="s">
        <v>76</v>
      </c>
      <c r="K35" t="s">
        <v>139</v>
      </c>
      <c r="L35" s="3" t="s">
        <v>136</v>
      </c>
      <c r="M35" t="s">
        <v>142</v>
      </c>
      <c r="N35" s="4" t="s">
        <v>143</v>
      </c>
      <c r="O35" t="s">
        <v>131</v>
      </c>
      <c r="P35" t="s">
        <v>131</v>
      </c>
      <c r="Q35" t="s">
        <v>133</v>
      </c>
      <c r="R35" t="s">
        <v>133</v>
      </c>
      <c r="S35" t="s">
        <v>131</v>
      </c>
      <c r="T35" t="s">
        <v>131</v>
      </c>
      <c r="U35" t="s">
        <v>131</v>
      </c>
      <c r="V35" t="s">
        <v>137</v>
      </c>
      <c r="W35" t="s">
        <v>131</v>
      </c>
      <c r="X35" t="s">
        <v>131</v>
      </c>
      <c r="Y35" t="s">
        <v>138</v>
      </c>
      <c r="Z35" t="s">
        <v>170</v>
      </c>
      <c r="AA35" s="5" t="s">
        <v>217</v>
      </c>
      <c r="AB35" t="s">
        <v>76</v>
      </c>
      <c r="AC35" t="s">
        <v>140</v>
      </c>
      <c r="AD35" t="s">
        <v>141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212</v>
      </c>
      <c r="F36" t="s">
        <v>212</v>
      </c>
      <c r="G36" s="5" t="s">
        <v>131</v>
      </c>
      <c r="H36" s="5" t="s">
        <v>76</v>
      </c>
      <c r="I36" s="5" t="s">
        <v>131</v>
      </c>
      <c r="J36" s="5" t="s">
        <v>76</v>
      </c>
      <c r="K36" s="5" t="s">
        <v>153</v>
      </c>
      <c r="L36" s="6" t="s">
        <v>136</v>
      </c>
      <c r="M36" s="5" t="s">
        <v>216</v>
      </c>
      <c r="N36" s="6" t="s">
        <v>143</v>
      </c>
      <c r="O36" s="5" t="s">
        <v>131</v>
      </c>
      <c r="P36" s="5" t="s">
        <v>131</v>
      </c>
      <c r="Q36" s="5" t="s">
        <v>131</v>
      </c>
      <c r="R36" s="5" t="s">
        <v>133</v>
      </c>
      <c r="S36" s="5" t="s">
        <v>133</v>
      </c>
      <c r="T36" s="5" t="s">
        <v>131</v>
      </c>
      <c r="U36" s="5" t="s">
        <v>131</v>
      </c>
      <c r="V36" t="s">
        <v>244</v>
      </c>
      <c r="W36" s="5" t="s">
        <v>206</v>
      </c>
      <c r="X36" t="s">
        <v>215</v>
      </c>
      <c r="Y36" s="5" t="s">
        <v>145</v>
      </c>
      <c r="Z36" t="s">
        <v>170</v>
      </c>
      <c r="AA36" s="5" t="s">
        <v>217</v>
      </c>
      <c r="AB36" s="5" t="s">
        <v>131</v>
      </c>
      <c r="AC36" s="5" t="s">
        <v>131</v>
      </c>
      <c r="AD36" s="5" t="s">
        <v>218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331</v>
      </c>
      <c r="F37" t="s">
        <v>233</v>
      </c>
      <c r="G37" s="5" t="s">
        <v>131</v>
      </c>
      <c r="H37" s="5" t="s">
        <v>76</v>
      </c>
      <c r="I37" s="5" t="s">
        <v>76</v>
      </c>
      <c r="J37" s="5" t="s">
        <v>131</v>
      </c>
      <c r="K37" s="5" t="s">
        <v>223</v>
      </c>
      <c r="L37" s="5" t="s">
        <v>136</v>
      </c>
      <c r="M37" s="5" t="s">
        <v>225</v>
      </c>
      <c r="N37" s="5" t="s">
        <v>163</v>
      </c>
      <c r="O37" t="s">
        <v>131</v>
      </c>
      <c r="P37" s="5" t="s">
        <v>131</v>
      </c>
      <c r="Q37" s="5" t="s">
        <v>131</v>
      </c>
      <c r="R37" s="5" t="s">
        <v>76</v>
      </c>
      <c r="S37" s="5" t="s">
        <v>76</v>
      </c>
      <c r="T37" s="5" t="s">
        <v>131</v>
      </c>
      <c r="U37" s="5" t="s">
        <v>131</v>
      </c>
      <c r="V37" s="6" t="s">
        <v>230</v>
      </c>
      <c r="W37" t="s">
        <v>206</v>
      </c>
      <c r="X37" t="s">
        <v>231</v>
      </c>
      <c r="Y37" s="5" t="s">
        <v>138</v>
      </c>
      <c r="Z37" s="5" t="s">
        <v>165</v>
      </c>
      <c r="AA37" s="6" t="s">
        <v>256</v>
      </c>
      <c r="AB37" s="5" t="s">
        <v>133</v>
      </c>
      <c r="AC37" s="5" t="s">
        <v>131</v>
      </c>
      <c r="AD37" t="s">
        <v>232</v>
      </c>
    </row>
    <row r="38" spans="1:32" x14ac:dyDescent="0.25">
      <c r="A38" t="s">
        <v>76</v>
      </c>
      <c r="B38" t="s">
        <v>305</v>
      </c>
      <c r="C38" t="s">
        <v>118</v>
      </c>
      <c r="D38">
        <v>2017</v>
      </c>
      <c r="E38" t="s">
        <v>333</v>
      </c>
      <c r="F38" t="s">
        <v>250</v>
      </c>
      <c r="G38" s="5" t="s">
        <v>131</v>
      </c>
      <c r="H38" s="5" t="s">
        <v>76</v>
      </c>
      <c r="I38" s="5" t="s">
        <v>133</v>
      </c>
      <c r="J38" s="5" t="s">
        <v>133</v>
      </c>
      <c r="K38" s="5" t="s">
        <v>223</v>
      </c>
      <c r="L38" s="6" t="s">
        <v>136</v>
      </c>
      <c r="M38" s="5" t="s">
        <v>249</v>
      </c>
      <c r="N38" s="5" t="s">
        <v>163</v>
      </c>
      <c r="O38" t="s">
        <v>131</v>
      </c>
      <c r="P38" s="5" t="s">
        <v>131</v>
      </c>
      <c r="Q38" s="5" t="s">
        <v>76</v>
      </c>
      <c r="R38" s="5" t="s">
        <v>76</v>
      </c>
      <c r="S38" s="5" t="s">
        <v>133</v>
      </c>
      <c r="T38" s="5" t="s">
        <v>131</v>
      </c>
      <c r="U38" s="5" t="s">
        <v>131</v>
      </c>
      <c r="V38" s="6" t="s">
        <v>230</v>
      </c>
      <c r="W38" s="5" t="s">
        <v>164</v>
      </c>
      <c r="X38" s="5" t="s">
        <v>399</v>
      </c>
      <c r="Y38" s="5" t="s">
        <v>138</v>
      </c>
      <c r="Z38" t="s">
        <v>196</v>
      </c>
      <c r="AA38" s="6" t="s">
        <v>256</v>
      </c>
      <c r="AB38" s="5" t="s">
        <v>133</v>
      </c>
      <c r="AC38" s="5" t="s">
        <v>131</v>
      </c>
      <c r="AD38" t="s">
        <v>248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331</v>
      </c>
      <c r="F39" t="s">
        <v>326</v>
      </c>
      <c r="G39" s="5" t="s">
        <v>131</v>
      </c>
      <c r="H39" s="5" t="s">
        <v>76</v>
      </c>
      <c r="I39" s="5" t="s">
        <v>131</v>
      </c>
      <c r="J39" s="5" t="s">
        <v>76</v>
      </c>
      <c r="K39" s="5" t="s">
        <v>207</v>
      </c>
      <c r="L39" s="6" t="s">
        <v>136</v>
      </c>
      <c r="M39" s="5" t="s">
        <v>253</v>
      </c>
      <c r="N39" s="5" t="s">
        <v>163</v>
      </c>
      <c r="O39" t="s">
        <v>131</v>
      </c>
      <c r="P39" s="5" t="s">
        <v>131</v>
      </c>
      <c r="Q39" s="5" t="s">
        <v>131</v>
      </c>
      <c r="R39" s="5" t="s">
        <v>133</v>
      </c>
      <c r="S39" s="5" t="s">
        <v>133</v>
      </c>
      <c r="T39" s="5" t="s">
        <v>76</v>
      </c>
      <c r="U39" s="5" t="s">
        <v>131</v>
      </c>
      <c r="V39" s="5" t="s">
        <v>204</v>
      </c>
      <c r="W39" s="5" t="s">
        <v>131</v>
      </c>
      <c r="X39" s="5" t="s">
        <v>251</v>
      </c>
      <c r="Y39" s="5" t="s">
        <v>145</v>
      </c>
      <c r="Z39" s="5" t="s">
        <v>165</v>
      </c>
      <c r="AA39" s="6" t="s">
        <v>217</v>
      </c>
      <c r="AB39" s="5" t="s">
        <v>76</v>
      </c>
      <c r="AC39" s="5" t="s">
        <v>254</v>
      </c>
      <c r="AD39" s="5" t="s">
        <v>252</v>
      </c>
    </row>
    <row r="40" spans="1:32" x14ac:dyDescent="0.25">
      <c r="A40" t="s">
        <v>76</v>
      </c>
      <c r="B40" s="10" t="s">
        <v>389</v>
      </c>
      <c r="C40" t="s">
        <v>388</v>
      </c>
      <c r="D40">
        <v>2017</v>
      </c>
      <c r="E40" t="s">
        <v>157</v>
      </c>
      <c r="F40" t="s">
        <v>157</v>
      </c>
      <c r="G40" s="5" t="s">
        <v>131</v>
      </c>
      <c r="H40" s="5" t="s">
        <v>76</v>
      </c>
      <c r="I40" s="5" t="s">
        <v>76</v>
      </c>
      <c r="J40" s="5" t="s">
        <v>131</v>
      </c>
      <c r="K40" t="s">
        <v>223</v>
      </c>
      <c r="L40" s="6" t="s">
        <v>136</v>
      </c>
      <c r="M40" t="s">
        <v>155</v>
      </c>
      <c r="N40" s="5" t="s">
        <v>163</v>
      </c>
      <c r="O40" t="s">
        <v>393</v>
      </c>
      <c r="P40" s="5" t="s">
        <v>131</v>
      </c>
      <c r="Q40" s="5" t="s">
        <v>131</v>
      </c>
      <c r="R40" s="5" t="s">
        <v>133</v>
      </c>
      <c r="S40" s="5" t="s">
        <v>133</v>
      </c>
      <c r="T40" s="5" t="s">
        <v>131</v>
      </c>
      <c r="U40" s="5" t="s">
        <v>131</v>
      </c>
      <c r="V40" s="5" t="s">
        <v>244</v>
      </c>
      <c r="W40" s="5" t="s">
        <v>390</v>
      </c>
      <c r="X40" s="5" t="s">
        <v>177</v>
      </c>
      <c r="Y40" s="5" t="s">
        <v>138</v>
      </c>
      <c r="Z40" s="5" t="s">
        <v>196</v>
      </c>
      <c r="AA40" s="5" t="s">
        <v>131</v>
      </c>
      <c r="AB40" s="5" t="s">
        <v>131</v>
      </c>
      <c r="AC40" s="11" t="s">
        <v>391</v>
      </c>
      <c r="AD40" s="5" t="s">
        <v>392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157</v>
      </c>
      <c r="F41" t="s">
        <v>157</v>
      </c>
      <c r="G41" s="5" t="s">
        <v>131</v>
      </c>
      <c r="H41" s="5" t="s">
        <v>76</v>
      </c>
      <c r="I41" s="5" t="s">
        <v>131</v>
      </c>
      <c r="J41" s="5" t="s">
        <v>76</v>
      </c>
      <c r="K41" s="5" t="s">
        <v>146</v>
      </c>
      <c r="L41" s="6" t="s">
        <v>136</v>
      </c>
      <c r="M41" s="5" t="s">
        <v>178</v>
      </c>
      <c r="N41" t="s">
        <v>163</v>
      </c>
      <c r="O41" s="5" t="s">
        <v>131</v>
      </c>
      <c r="P41" s="5" t="s">
        <v>133</v>
      </c>
      <c r="Q41" s="5" t="s">
        <v>131</v>
      </c>
      <c r="R41" s="5" t="s">
        <v>133</v>
      </c>
      <c r="S41" s="5" t="s">
        <v>131</v>
      </c>
      <c r="T41" s="5" t="s">
        <v>131</v>
      </c>
      <c r="U41" s="5" t="s">
        <v>131</v>
      </c>
      <c r="V41" s="5" t="s">
        <v>204</v>
      </c>
      <c r="W41" s="5" t="s">
        <v>164</v>
      </c>
      <c r="X41" t="s">
        <v>177</v>
      </c>
      <c r="Y41" t="s">
        <v>145</v>
      </c>
      <c r="Z41" t="s">
        <v>170</v>
      </c>
      <c r="AA41" s="5" t="s">
        <v>131</v>
      </c>
      <c r="AB41" s="5" t="s">
        <v>133</v>
      </c>
      <c r="AC41" s="5" t="s">
        <v>131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157</v>
      </c>
      <c r="F42" t="s">
        <v>157</v>
      </c>
      <c r="G42" s="5" t="s">
        <v>131</v>
      </c>
      <c r="H42" s="5" t="s">
        <v>76</v>
      </c>
      <c r="I42" s="5" t="s">
        <v>131</v>
      </c>
      <c r="J42" s="5" t="s">
        <v>76</v>
      </c>
      <c r="K42" s="5" t="s">
        <v>146</v>
      </c>
      <c r="L42" s="6" t="s">
        <v>398</v>
      </c>
      <c r="M42" s="5" t="s">
        <v>225</v>
      </c>
      <c r="N42" s="5" t="s">
        <v>143</v>
      </c>
      <c r="O42" s="5" t="s">
        <v>131</v>
      </c>
      <c r="P42" s="5" t="s">
        <v>76</v>
      </c>
      <c r="Q42" s="5" t="s">
        <v>76</v>
      </c>
      <c r="R42" s="5" t="s">
        <v>76</v>
      </c>
      <c r="S42" s="5" t="s">
        <v>133</v>
      </c>
      <c r="T42" s="5" t="s">
        <v>131</v>
      </c>
      <c r="U42" s="5" t="s">
        <v>133</v>
      </c>
      <c r="V42" t="s">
        <v>193</v>
      </c>
      <c r="W42" s="5" t="s">
        <v>226</v>
      </c>
      <c r="X42" s="5" t="s">
        <v>229</v>
      </c>
      <c r="Y42" s="5" t="s">
        <v>145</v>
      </c>
      <c r="Z42" s="5" t="s">
        <v>159</v>
      </c>
      <c r="AA42" s="5" t="s">
        <v>131</v>
      </c>
      <c r="AB42" s="5" t="s">
        <v>131</v>
      </c>
      <c r="AC42" s="5" t="s">
        <v>131</v>
      </c>
      <c r="AD42" s="5" t="s">
        <v>224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157</v>
      </c>
      <c r="F43" t="s">
        <v>329</v>
      </c>
      <c r="G43" t="s">
        <v>133</v>
      </c>
      <c r="H43" s="5" t="s">
        <v>76</v>
      </c>
      <c r="I43" t="s">
        <v>76</v>
      </c>
      <c r="J43" t="s">
        <v>131</v>
      </c>
      <c r="K43" t="s">
        <v>153</v>
      </c>
      <c r="L43" s="4" t="s">
        <v>136</v>
      </c>
      <c r="M43" t="s">
        <v>155</v>
      </c>
      <c r="N43" s="6" t="s">
        <v>163</v>
      </c>
      <c r="O43" t="s">
        <v>131</v>
      </c>
      <c r="P43" t="s">
        <v>133</v>
      </c>
      <c r="Q43" t="s">
        <v>76</v>
      </c>
      <c r="R43" t="s">
        <v>76</v>
      </c>
      <c r="S43" t="s">
        <v>76</v>
      </c>
      <c r="T43" t="s">
        <v>133</v>
      </c>
      <c r="U43" t="s">
        <v>131</v>
      </c>
      <c r="V43" t="s">
        <v>144</v>
      </c>
      <c r="W43" t="s">
        <v>181</v>
      </c>
      <c r="X43" t="s">
        <v>154</v>
      </c>
      <c r="Y43" t="s">
        <v>158</v>
      </c>
      <c r="Z43" t="s">
        <v>170</v>
      </c>
      <c r="AA43" t="s">
        <v>131</v>
      </c>
      <c r="AB43" t="s">
        <v>76</v>
      </c>
      <c r="AC43" t="s">
        <v>131</v>
      </c>
      <c r="AD43" t="s">
        <v>156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157</v>
      </c>
      <c r="F44" t="s">
        <v>157</v>
      </c>
      <c r="G44" s="5" t="s">
        <v>131</v>
      </c>
      <c r="H44" s="5" t="s">
        <v>76</v>
      </c>
      <c r="I44" s="5" t="s">
        <v>131</v>
      </c>
      <c r="J44" s="5" t="s">
        <v>76</v>
      </c>
      <c r="K44" s="5" t="s">
        <v>146</v>
      </c>
      <c r="L44" s="6" t="s">
        <v>136</v>
      </c>
      <c r="M44" s="5" t="s">
        <v>225</v>
      </c>
      <c r="N44" s="5" t="s">
        <v>143</v>
      </c>
      <c r="O44" s="5" t="s">
        <v>131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131</v>
      </c>
      <c r="U44" s="5" t="s">
        <v>133</v>
      </c>
      <c r="V44" t="s">
        <v>193</v>
      </c>
      <c r="W44" t="s">
        <v>226</v>
      </c>
      <c r="X44" s="5" t="s">
        <v>229</v>
      </c>
      <c r="Y44" s="5" t="s">
        <v>145</v>
      </c>
      <c r="Z44" s="5" t="s">
        <v>196</v>
      </c>
      <c r="AA44" s="5" t="s">
        <v>217</v>
      </c>
      <c r="AB44" s="5" t="s">
        <v>131</v>
      </c>
      <c r="AC44" s="5" t="s">
        <v>227</v>
      </c>
      <c r="AD44" s="5" t="s">
        <v>228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212</v>
      </c>
      <c r="F45" t="s">
        <v>212</v>
      </c>
      <c r="G45" s="5" t="s">
        <v>76</v>
      </c>
      <c r="H45" s="5" t="s">
        <v>76</v>
      </c>
      <c r="I45" s="5" t="s">
        <v>131</v>
      </c>
      <c r="J45" s="5" t="s">
        <v>76</v>
      </c>
      <c r="K45" s="5" t="s">
        <v>146</v>
      </c>
      <c r="L45" s="6" t="s">
        <v>136</v>
      </c>
      <c r="M45" t="s">
        <v>273</v>
      </c>
      <c r="N45" s="5" t="s">
        <v>143</v>
      </c>
      <c r="O45" t="s">
        <v>272</v>
      </c>
      <c r="P45" s="5" t="s">
        <v>133</v>
      </c>
      <c r="Q45" s="5" t="s">
        <v>76</v>
      </c>
      <c r="R45" s="5" t="s">
        <v>131</v>
      </c>
      <c r="S45" s="5" t="s">
        <v>133</v>
      </c>
      <c r="T45" s="5" t="s">
        <v>131</v>
      </c>
      <c r="U45" s="5" t="s">
        <v>133</v>
      </c>
      <c r="V45" t="s">
        <v>244</v>
      </c>
      <c r="W45" s="5" t="s">
        <v>274</v>
      </c>
      <c r="X45" s="5" t="s">
        <v>131</v>
      </c>
      <c r="Y45" s="5" t="s">
        <v>145</v>
      </c>
      <c r="Z45" t="s">
        <v>165</v>
      </c>
      <c r="AA45" s="6" t="s">
        <v>217</v>
      </c>
      <c r="AB45" s="5" t="s">
        <v>131</v>
      </c>
      <c r="AC45" s="5" t="s">
        <v>131</v>
      </c>
      <c r="AD45" s="5" t="s">
        <v>275</v>
      </c>
    </row>
    <row r="46" spans="1:32" x14ac:dyDescent="0.25">
      <c r="A46" t="s">
        <v>76</v>
      </c>
      <c r="B46" t="s">
        <v>298</v>
      </c>
      <c r="C46" t="s">
        <v>297</v>
      </c>
      <c r="D46">
        <v>2019</v>
      </c>
      <c r="E46" t="s">
        <v>331</v>
      </c>
      <c r="F46" t="s">
        <v>306</v>
      </c>
      <c r="G46" s="5" t="s">
        <v>76</v>
      </c>
      <c r="H46" s="5" t="s">
        <v>76</v>
      </c>
      <c r="I46" s="5" t="s">
        <v>131</v>
      </c>
      <c r="J46" s="5" t="s">
        <v>76</v>
      </c>
      <c r="K46" t="s">
        <v>139</v>
      </c>
      <c r="L46" s="6" t="s">
        <v>136</v>
      </c>
      <c r="M46" t="s">
        <v>240</v>
      </c>
      <c r="N46" s="5" t="s">
        <v>163</v>
      </c>
      <c r="O46" t="s">
        <v>131</v>
      </c>
      <c r="P46" s="5" t="s">
        <v>131</v>
      </c>
      <c r="Q46" s="5" t="s">
        <v>133</v>
      </c>
      <c r="R46" s="5" t="s">
        <v>76</v>
      </c>
      <c r="S46" s="5" t="s">
        <v>76</v>
      </c>
      <c r="T46" s="5" t="s">
        <v>131</v>
      </c>
      <c r="U46" s="5" t="s">
        <v>131</v>
      </c>
      <c r="V46" t="s">
        <v>244</v>
      </c>
      <c r="W46" s="5" t="s">
        <v>358</v>
      </c>
      <c r="X46" s="5" t="s">
        <v>312</v>
      </c>
      <c r="Y46" s="5" t="s">
        <v>145</v>
      </c>
      <c r="Z46" t="s">
        <v>261</v>
      </c>
      <c r="AA46" s="5" t="s">
        <v>217</v>
      </c>
      <c r="AB46" s="5" t="s">
        <v>76</v>
      </c>
      <c r="AC46" s="5" t="s">
        <v>308</v>
      </c>
      <c r="AD46" s="5" t="s">
        <v>307</v>
      </c>
      <c r="AE46" s="8" t="s">
        <v>309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321</v>
      </c>
      <c r="F47" t="s">
        <v>321</v>
      </c>
      <c r="G47" t="s">
        <v>131</v>
      </c>
      <c r="H47" s="5" t="s">
        <v>76</v>
      </c>
      <c r="I47" t="s">
        <v>131</v>
      </c>
      <c r="J47" t="s">
        <v>76</v>
      </c>
      <c r="K47" t="s">
        <v>153</v>
      </c>
      <c r="L47" s="4" t="s">
        <v>162</v>
      </c>
      <c r="M47" t="s">
        <v>161</v>
      </c>
      <c r="N47" s="6" t="s">
        <v>163</v>
      </c>
      <c r="O47" t="s">
        <v>131</v>
      </c>
      <c r="P47" t="s">
        <v>131</v>
      </c>
      <c r="Q47" t="s">
        <v>131</v>
      </c>
      <c r="R47" t="s">
        <v>133</v>
      </c>
      <c r="S47" t="s">
        <v>133</v>
      </c>
      <c r="T47" t="s">
        <v>131</v>
      </c>
      <c r="U47" t="s">
        <v>131</v>
      </c>
      <c r="V47" s="6" t="s">
        <v>244</v>
      </c>
      <c r="W47" t="s">
        <v>360</v>
      </c>
      <c r="X47" t="s">
        <v>131</v>
      </c>
      <c r="Y47" t="s">
        <v>145</v>
      </c>
      <c r="Z47" t="s">
        <v>159</v>
      </c>
      <c r="AA47" s="5" t="s">
        <v>131</v>
      </c>
      <c r="AB47" t="s">
        <v>133</v>
      </c>
      <c r="AC47" t="s">
        <v>160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157</v>
      </c>
      <c r="F48" t="s">
        <v>157</v>
      </c>
      <c r="G48" s="5" t="s">
        <v>131</v>
      </c>
      <c r="H48" s="5" t="s">
        <v>76</v>
      </c>
      <c r="I48" s="5" t="s">
        <v>131</v>
      </c>
      <c r="J48" s="5" t="s">
        <v>76</v>
      </c>
      <c r="K48" s="5" t="s">
        <v>223</v>
      </c>
      <c r="L48" t="s">
        <v>131</v>
      </c>
      <c r="M48" t="s">
        <v>131</v>
      </c>
      <c r="N48" s="6" t="s">
        <v>143</v>
      </c>
      <c r="O48" t="s">
        <v>131</v>
      </c>
      <c r="P48" s="5" t="s">
        <v>131</v>
      </c>
      <c r="Q48" s="5" t="s">
        <v>131</v>
      </c>
      <c r="R48" s="5" t="s">
        <v>133</v>
      </c>
      <c r="S48" s="5" t="s">
        <v>133</v>
      </c>
      <c r="T48" s="5" t="s">
        <v>133</v>
      </c>
      <c r="U48" s="5" t="s">
        <v>131</v>
      </c>
      <c r="V48" s="5" t="s">
        <v>182</v>
      </c>
      <c r="W48" s="5" t="s">
        <v>131</v>
      </c>
      <c r="X48" s="5" t="s">
        <v>276</v>
      </c>
      <c r="Y48" s="5" t="s">
        <v>145</v>
      </c>
      <c r="Z48" t="s">
        <v>159</v>
      </c>
      <c r="AA48" s="5" t="s">
        <v>131</v>
      </c>
      <c r="AB48" s="5" t="s">
        <v>133</v>
      </c>
      <c r="AC48" t="s">
        <v>160</v>
      </c>
      <c r="AD48" t="s">
        <v>277</v>
      </c>
      <c r="AF48" t="s">
        <v>315</v>
      </c>
    </row>
    <row r="49" spans="1:33" x14ac:dyDescent="0.25">
      <c r="A49" t="s">
        <v>76</v>
      </c>
      <c r="B49" t="s">
        <v>300</v>
      </c>
      <c r="C49" t="s">
        <v>299</v>
      </c>
      <c r="D49">
        <v>2020</v>
      </c>
      <c r="E49" t="s">
        <v>212</v>
      </c>
      <c r="F49" t="s">
        <v>212</v>
      </c>
      <c r="G49" s="5" t="s">
        <v>76</v>
      </c>
      <c r="H49" s="5" t="s">
        <v>76</v>
      </c>
      <c r="I49" s="5" t="s">
        <v>131</v>
      </c>
      <c r="J49" s="5" t="s">
        <v>76</v>
      </c>
      <c r="K49" t="s">
        <v>139</v>
      </c>
      <c r="L49" s="6" t="s">
        <v>136</v>
      </c>
      <c r="M49" t="s">
        <v>310</v>
      </c>
      <c r="N49" s="5" t="s">
        <v>163</v>
      </c>
      <c r="O49" t="s">
        <v>131</v>
      </c>
      <c r="P49" s="5" t="s">
        <v>76</v>
      </c>
      <c r="Q49" s="5" t="s">
        <v>76</v>
      </c>
      <c r="R49" s="5" t="s">
        <v>133</v>
      </c>
      <c r="S49" s="5" t="s">
        <v>133</v>
      </c>
      <c r="T49" s="5" t="s">
        <v>133</v>
      </c>
      <c r="U49" s="5" t="s">
        <v>133</v>
      </c>
      <c r="V49" t="s">
        <v>244</v>
      </c>
      <c r="W49" s="5" t="s">
        <v>314</v>
      </c>
      <c r="X49" s="5" t="s">
        <v>313</v>
      </c>
      <c r="Y49" s="5" t="s">
        <v>145</v>
      </c>
      <c r="Z49" t="s">
        <v>261</v>
      </c>
      <c r="AA49" s="5" t="s">
        <v>217</v>
      </c>
      <c r="AB49" s="5" t="s">
        <v>131</v>
      </c>
      <c r="AC49" t="s">
        <v>311</v>
      </c>
      <c r="AD49" s="8" t="s">
        <v>287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212</v>
      </c>
      <c r="F50" t="s">
        <v>212</v>
      </c>
      <c r="G50" s="5" t="s">
        <v>76</v>
      </c>
      <c r="H50" s="5" t="s">
        <v>76</v>
      </c>
      <c r="I50" s="5" t="s">
        <v>131</v>
      </c>
      <c r="J50" s="5" t="s">
        <v>76</v>
      </c>
      <c r="K50" s="5" t="s">
        <v>139</v>
      </c>
      <c r="L50" s="6" t="s">
        <v>136</v>
      </c>
      <c r="M50" t="s">
        <v>288</v>
      </c>
      <c r="N50" s="5" t="s">
        <v>163</v>
      </c>
      <c r="O50" t="s">
        <v>286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133</v>
      </c>
      <c r="U50" s="5" t="s">
        <v>76</v>
      </c>
      <c r="V50" s="6" t="s">
        <v>230</v>
      </c>
      <c r="W50" s="5" t="s">
        <v>289</v>
      </c>
      <c r="X50" s="5" t="s">
        <v>290</v>
      </c>
      <c r="Y50" s="5" t="s">
        <v>138</v>
      </c>
      <c r="Z50" t="s">
        <v>270</v>
      </c>
      <c r="AA50" s="6" t="s">
        <v>217</v>
      </c>
      <c r="AB50" s="5" t="s">
        <v>131</v>
      </c>
      <c r="AC50" s="5" t="s">
        <v>308</v>
      </c>
      <c r="AD50" s="8" t="s">
        <v>296</v>
      </c>
      <c r="AE50" s="8" t="s">
        <v>287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157</v>
      </c>
      <c r="F51" t="s">
        <v>157</v>
      </c>
      <c r="G51" s="5" t="s">
        <v>131</v>
      </c>
      <c r="H51" s="5" t="s">
        <v>76</v>
      </c>
      <c r="I51" s="5" t="s">
        <v>131</v>
      </c>
      <c r="J51" s="5" t="s">
        <v>76</v>
      </c>
      <c r="K51" t="s">
        <v>207</v>
      </c>
      <c r="L51" s="6" t="s">
        <v>136</v>
      </c>
      <c r="M51" t="s">
        <v>249</v>
      </c>
      <c r="N51" s="5" t="s">
        <v>163</v>
      </c>
      <c r="O51" t="s">
        <v>131</v>
      </c>
      <c r="P51" s="5" t="s">
        <v>131</v>
      </c>
      <c r="Q51" s="5" t="s">
        <v>131</v>
      </c>
      <c r="R51" s="5" t="s">
        <v>131</v>
      </c>
      <c r="S51" s="5" t="s">
        <v>133</v>
      </c>
      <c r="T51" s="5" t="s">
        <v>76</v>
      </c>
      <c r="U51" s="5" t="s">
        <v>131</v>
      </c>
      <c r="V51" s="6" t="s">
        <v>230</v>
      </c>
      <c r="W51" s="5" t="s">
        <v>131</v>
      </c>
      <c r="X51" s="5" t="s">
        <v>131</v>
      </c>
      <c r="Y51" s="5" t="s">
        <v>145</v>
      </c>
      <c r="Z51" t="s">
        <v>159</v>
      </c>
      <c r="AA51" s="5" t="s">
        <v>131</v>
      </c>
      <c r="AB51" s="5" t="s">
        <v>76</v>
      </c>
      <c r="AC51" s="5" t="s">
        <v>131</v>
      </c>
      <c r="AD51" s="5" t="s">
        <v>295</v>
      </c>
    </row>
    <row r="53" spans="1:33" x14ac:dyDescent="0.25">
      <c r="A53" s="1" t="s">
        <v>334</v>
      </c>
      <c r="D53" s="1" t="s">
        <v>63</v>
      </c>
      <c r="G53" s="1" t="s">
        <v>61</v>
      </c>
      <c r="J53" s="1" t="s">
        <v>74</v>
      </c>
      <c r="M53" s="1" t="s">
        <v>361</v>
      </c>
      <c r="P53" s="1" t="s">
        <v>69</v>
      </c>
      <c r="S53" s="1" t="s">
        <v>72</v>
      </c>
      <c r="V53" s="1" t="s">
        <v>127</v>
      </c>
      <c r="Y53" s="1" t="s">
        <v>394</v>
      </c>
      <c r="AB53" s="1" t="s">
        <v>375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331</v>
      </c>
      <c r="E54">
        <f>COUNTIF($E$2:$E$51,"*Administration and Management*")</f>
        <v>5</v>
      </c>
      <c r="G54" t="s">
        <v>131</v>
      </c>
      <c r="H54">
        <f>COUNTIF($G$2:$G$51,"-")</f>
        <v>37</v>
      </c>
      <c r="J54" t="s">
        <v>336</v>
      </c>
      <c r="K54">
        <f>COUNTIF($K$2:$K$51,"cloud")</f>
        <v>8</v>
      </c>
      <c r="M54" t="s">
        <v>379</v>
      </c>
      <c r="N54">
        <f>COUNTIF($M$2:$M$51,"*code*")</f>
        <v>14</v>
      </c>
      <c r="P54" t="s">
        <v>131</v>
      </c>
      <c r="Q54">
        <f>COUNTIF($P$2:$P$51,"-")</f>
        <v>35</v>
      </c>
      <c r="S54" t="s">
        <v>131</v>
      </c>
      <c r="T54">
        <f>COUNTIF($S$2:$S$51,"-")</f>
        <v>14</v>
      </c>
      <c r="V54" t="s">
        <v>347</v>
      </c>
      <c r="W54">
        <f>COUNTIF($V$2:$V$51,"*non-functional requirement*")</f>
        <v>7</v>
      </c>
      <c r="Y54" t="s">
        <v>177</v>
      </c>
      <c r="Z54">
        <f>COUNTIF($X$2:$X$51,"*encryption*")</f>
        <v>19</v>
      </c>
      <c r="AB54" t="s">
        <v>145</v>
      </c>
      <c r="AC54">
        <f>COUNTIF($Y$2:$Y$51,"software")</f>
        <v>31</v>
      </c>
      <c r="AE54" t="s">
        <v>131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212</v>
      </c>
      <c r="E55">
        <f>COUNTIF($E$2:$E$51,"*Production*")</f>
        <v>8</v>
      </c>
      <c r="G55" t="s">
        <v>133</v>
      </c>
      <c r="H55">
        <f>COUNTIF($G$2:$G$51,"+")</f>
        <v>3</v>
      </c>
      <c r="J55" t="s">
        <v>337</v>
      </c>
      <c r="K55">
        <f>COUNTIF($K$2:$K$51,"*database*")</f>
        <v>31</v>
      </c>
      <c r="M55" t="s">
        <v>380</v>
      </c>
      <c r="N55">
        <v>5</v>
      </c>
      <c r="P55" t="s">
        <v>133</v>
      </c>
      <c r="Q55">
        <f>COUNTIF($P$2:$P$51,"+")</f>
        <v>9</v>
      </c>
      <c r="S55" t="s">
        <v>133</v>
      </c>
      <c r="T55">
        <f>COUNTIF($S$2:$S$51,"+")</f>
        <v>22</v>
      </c>
      <c r="V55" t="s">
        <v>204</v>
      </c>
      <c r="W55">
        <f>COUNTIF($V$2:$V$51,"*quality*")</f>
        <v>7</v>
      </c>
      <c r="Y55" t="s">
        <v>362</v>
      </c>
      <c r="Z55">
        <f>COUNTIF($X$2:$X$51,"*signature*")</f>
        <v>2</v>
      </c>
      <c r="AB55" t="s">
        <v>158</v>
      </c>
      <c r="AC55">
        <f>COUNTIF($Y$2:$Y$51,"storage")</f>
        <v>8</v>
      </c>
      <c r="AE55" t="s">
        <v>133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321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339</v>
      </c>
      <c r="K56">
        <f>COUNTIF($K$2:$K$51,"*SaaS*")</f>
        <v>25</v>
      </c>
      <c r="M56" t="s">
        <v>178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230</v>
      </c>
      <c r="W56">
        <f>COUNTIF($V$2:$V$51,"*system goal*")</f>
        <v>18</v>
      </c>
      <c r="Y56" t="s">
        <v>183</v>
      </c>
      <c r="Z56">
        <f>COUNTIF($X$2:$X$51,"*access*")</f>
        <v>18</v>
      </c>
      <c r="AB56" t="s">
        <v>138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333</v>
      </c>
      <c r="E57">
        <f>COUNTIF($E$2:$E$51,"*Webapplication*")</f>
        <v>4</v>
      </c>
      <c r="J57" t="s">
        <v>338</v>
      </c>
      <c r="K57">
        <f>COUNTIF($K$2:$K$51,"*cloud, database*")</f>
        <v>17</v>
      </c>
      <c r="M57" t="s">
        <v>268</v>
      </c>
      <c r="N57">
        <f>COUNTIF($M$2:$M$51,"*variability model*")</f>
        <v>3</v>
      </c>
      <c r="V57" t="s">
        <v>244</v>
      </c>
      <c r="W57">
        <f>COUNTIF($V$2:$V$51,"*system requirement*")</f>
        <v>7</v>
      </c>
      <c r="Y57" t="s">
        <v>363</v>
      </c>
      <c r="Z57">
        <f>COUNTIF($X$2:$X$51,"*isolation*")</f>
        <v>8</v>
      </c>
    </row>
    <row r="58" spans="1:33" x14ac:dyDescent="0.25">
      <c r="A58">
        <v>2017</v>
      </c>
      <c r="B58">
        <f>COUNTIF($D$2:$D$51,"2017")</f>
        <v>6</v>
      </c>
      <c r="D58" t="s">
        <v>265</v>
      </c>
      <c r="E58">
        <f>COUNTIF($E$2:$E$51,"*Pay*")</f>
        <v>2</v>
      </c>
      <c r="G58" s="1" t="s">
        <v>62</v>
      </c>
      <c r="J58" t="s">
        <v>341</v>
      </c>
      <c r="K58">
        <f>COUNTIF($K$2:$K$51,"*fog, database*")</f>
        <v>1</v>
      </c>
      <c r="M58" t="s">
        <v>385</v>
      </c>
      <c r="N58">
        <f>COUNTIF($M$2:$M$51,"*variant*")</f>
        <v>2</v>
      </c>
      <c r="P58" s="1" t="s">
        <v>70</v>
      </c>
      <c r="S58" s="1" t="s">
        <v>73</v>
      </c>
      <c r="V58" t="s">
        <v>193</v>
      </c>
      <c r="W58">
        <f>COUNTIF($V$2:$V$51,"*security goal*")</f>
        <v>6</v>
      </c>
      <c r="Y58" t="s">
        <v>364</v>
      </c>
      <c r="Z58">
        <f>COUNTIF($X$2:$X$51,"*varia*")</f>
        <v>1</v>
      </c>
      <c r="AB58" s="1" t="s">
        <v>375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157</v>
      </c>
      <c r="E59">
        <f>COUNTIF($E$2:$E$51,"*unspecificed*")</f>
        <v>22</v>
      </c>
      <c r="G59" t="s">
        <v>131</v>
      </c>
      <c r="H59">
        <f>COUNTIF($H$2:$H$51,"-")</f>
        <v>0</v>
      </c>
      <c r="J59" t="s">
        <v>340</v>
      </c>
      <c r="K59">
        <f>COUNTIF($K$2:$K$51,"*cloud, database, SaaS*")</f>
        <v>13</v>
      </c>
      <c r="M59" t="s">
        <v>382</v>
      </c>
      <c r="N59">
        <v>1</v>
      </c>
      <c r="P59" t="s">
        <v>131</v>
      </c>
      <c r="Q59">
        <f>COUNTIF($Q$2:$Q$51,"-")</f>
        <v>36</v>
      </c>
      <c r="S59" t="s">
        <v>131</v>
      </c>
      <c r="T59">
        <f>COUNTIF($T$2:$T$51,"-")</f>
        <v>33</v>
      </c>
      <c r="V59" s="5" t="s">
        <v>247</v>
      </c>
      <c r="W59">
        <f>COUNTIF($V$2:$V$51,"*system feature*")</f>
        <v>4</v>
      </c>
      <c r="Y59" s="5" t="s">
        <v>276</v>
      </c>
      <c r="Z59">
        <f>COUNTIF($X$2:$X$51,"*firewall*")</f>
        <v>4</v>
      </c>
      <c r="AB59" t="s">
        <v>159</v>
      </c>
      <c r="AC59">
        <f>COUNTIF($Z$2:$Z$51,"problem-space")</f>
        <v>6</v>
      </c>
      <c r="AE59" t="s">
        <v>292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332</v>
      </c>
      <c r="E60">
        <f>COUNTIF($E$2:$E$51,"*Other*")</f>
        <v>5</v>
      </c>
      <c r="G60" t="s">
        <v>133</v>
      </c>
      <c r="H60">
        <f>COUNTIF($H$2:$H$51,"+")</f>
        <v>0</v>
      </c>
      <c r="M60" t="s">
        <v>257</v>
      </c>
      <c r="N60">
        <f>COUNTIF($M$2:$M$51,"*plug*")</f>
        <v>1</v>
      </c>
      <c r="P60" t="s">
        <v>133</v>
      </c>
      <c r="Q60">
        <f>COUNTIF($Q$2:$Q$51,"+")</f>
        <v>3</v>
      </c>
      <c r="S60" t="s">
        <v>133</v>
      </c>
      <c r="T60">
        <f>COUNTIF($T$2:$T$51,"+")</f>
        <v>11</v>
      </c>
      <c r="V60" s="5" t="s">
        <v>349</v>
      </c>
      <c r="W60">
        <v>20</v>
      </c>
      <c r="Y60" s="5" t="s">
        <v>365</v>
      </c>
      <c r="Z60">
        <f>COUNTIF($X$2:$X$51,"*misuse*")</f>
        <v>2</v>
      </c>
      <c r="AB60" t="s">
        <v>270</v>
      </c>
      <c r="AC60">
        <f>COUNTIF($Z$2:$Z$51,"mapping")</f>
        <v>2</v>
      </c>
      <c r="AE60" t="s">
        <v>320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50</v>
      </c>
      <c r="J61" s="1" t="s">
        <v>123</v>
      </c>
      <c r="M61" t="s">
        <v>249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367</v>
      </c>
      <c r="Z61">
        <f>COUNTIF($X$2:$X$51,"*model*")</f>
        <v>1</v>
      </c>
      <c r="AB61" t="s">
        <v>165</v>
      </c>
      <c r="AC61">
        <f>COUNTIF($Z$2:$Z$51,"solution-space")</f>
        <v>16</v>
      </c>
      <c r="AE61" t="s">
        <v>238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136</v>
      </c>
      <c r="K62">
        <f>COUNTIF($L$2:$L$51,"*centralized*")</f>
        <v>44</v>
      </c>
      <c r="M62" t="s">
        <v>384</v>
      </c>
      <c r="N62">
        <f>COUNTIF($M$2:$M$51,"*meta*")</f>
        <v>3</v>
      </c>
      <c r="V62" s="1" t="s">
        <v>128</v>
      </c>
      <c r="Y62" s="5" t="s">
        <v>371</v>
      </c>
      <c r="Z62">
        <v>7</v>
      </c>
      <c r="AB62" t="s">
        <v>196</v>
      </c>
      <c r="AC62">
        <f>COUNTIF($Z$2:$Z$51,"*mapping, solution-space*")</f>
        <v>20</v>
      </c>
      <c r="AE62" t="s">
        <v>378</v>
      </c>
      <c r="AF62">
        <v>5</v>
      </c>
    </row>
    <row r="63" spans="1:33" x14ac:dyDescent="0.25">
      <c r="G63" s="1" t="s">
        <v>335</v>
      </c>
      <c r="J63" t="s">
        <v>281</v>
      </c>
      <c r="K63">
        <f>COUNTIF($L$2:$L$51,"*distributed*")</f>
        <v>14</v>
      </c>
      <c r="M63" t="s">
        <v>383</v>
      </c>
      <c r="N63">
        <v>14</v>
      </c>
      <c r="P63" s="1" t="s">
        <v>71</v>
      </c>
      <c r="S63" s="1" t="s">
        <v>126</v>
      </c>
      <c r="V63" t="s">
        <v>203</v>
      </c>
      <c r="W63">
        <f>COUNTIF($W$2:$W$51,"*privacy*")</f>
        <v>17</v>
      </c>
      <c r="AB63" t="s">
        <v>261</v>
      </c>
      <c r="AC63">
        <f>COUNTIF($Z$2:$Z$51,"*problem-space, mapping*")</f>
        <v>15</v>
      </c>
      <c r="AE63" t="s">
        <v>332</v>
      </c>
      <c r="AF63">
        <v>8</v>
      </c>
    </row>
    <row r="64" spans="1:33" x14ac:dyDescent="0.25">
      <c r="G64" t="s">
        <v>131</v>
      </c>
      <c r="H64">
        <f>COUNTIF($I$2:$I$51,"-")</f>
        <v>28</v>
      </c>
      <c r="J64" t="s">
        <v>342</v>
      </c>
      <c r="K64">
        <f>COUNTIF($L$2:$L$51,"*decentralized*")</f>
        <v>1</v>
      </c>
      <c r="M64" t="s">
        <v>381</v>
      </c>
      <c r="N64">
        <f>COUNTIF($M$2:$M$51,"*patch*")</f>
        <v>1</v>
      </c>
      <c r="P64" t="s">
        <v>131</v>
      </c>
      <c r="Q64">
        <f>COUNTIF($R$2:$R$51,"-")</f>
        <v>12</v>
      </c>
      <c r="S64" t="s">
        <v>131</v>
      </c>
      <c r="T64">
        <f>COUNTIF($U$2:$U$51,"-")</f>
        <v>41</v>
      </c>
      <c r="V64" t="s">
        <v>350</v>
      </c>
      <c r="W64">
        <f>COUNTIF($W$2:$W$51,"*access*")</f>
        <v>23</v>
      </c>
      <c r="AB64" t="s">
        <v>170</v>
      </c>
      <c r="AC64">
        <f>COUNTIF($Z$2:$Z$51,"*problem-space, mapping, solution-space*")</f>
        <v>9</v>
      </c>
    </row>
    <row r="65" spans="1:42" x14ac:dyDescent="0.25">
      <c r="G65" t="s">
        <v>133</v>
      </c>
      <c r="H65">
        <f>COUNTIF($I$2:$I$51,"+")</f>
        <v>4</v>
      </c>
      <c r="J65" t="s">
        <v>135</v>
      </c>
      <c r="K65">
        <f>COUNTIF($L$2:$L$51,"-")</f>
        <v>1</v>
      </c>
      <c r="M65" t="s">
        <v>155</v>
      </c>
      <c r="N65">
        <f>COUNTIF($M$2:$M$51,"*unspecified*")</f>
        <v>4</v>
      </c>
      <c r="P65" t="s">
        <v>133</v>
      </c>
      <c r="Q65">
        <f>COUNTIF($R$2:$R$51,"+")</f>
        <v>20</v>
      </c>
      <c r="S65" t="s">
        <v>133</v>
      </c>
      <c r="T65">
        <f>COUNTIF($U$2:$U$51,"+")</f>
        <v>6</v>
      </c>
      <c r="V65" t="s">
        <v>245</v>
      </c>
      <c r="W65">
        <f>COUNTIF($W$2:$W$51,"*communication*")</f>
        <v>6</v>
      </c>
      <c r="Y65" t="s">
        <v>366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285</v>
      </c>
      <c r="W66">
        <f>COUNTIF($W$2:$W$51,"*variability*")</f>
        <v>9</v>
      </c>
      <c r="Y66" t="s">
        <v>368</v>
      </c>
      <c r="Z66">
        <f>COUNTIF($X$2:$X$51,"*TLS*")</f>
        <v>3</v>
      </c>
      <c r="AB66" s="1" t="s">
        <v>376</v>
      </c>
      <c r="AC66"/>
      <c r="AK66"/>
      <c r="AL66"/>
      <c r="AM66"/>
    </row>
    <row r="67" spans="1:42" s="5" customFormat="1" x14ac:dyDescent="0.25">
      <c r="M67" s="1" t="s">
        <v>343</v>
      </c>
      <c r="N67"/>
      <c r="V67" t="s">
        <v>351</v>
      </c>
      <c r="W67">
        <f>COUNTIF($W$2:$W$51,"*hardware*")</f>
        <v>1</v>
      </c>
      <c r="Y67" t="s">
        <v>369</v>
      </c>
      <c r="Z67">
        <f>COUNTIF($X$2:$X$51,"*SSL*")</f>
        <v>4</v>
      </c>
      <c r="AB67" s="5" t="s">
        <v>377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129</v>
      </c>
      <c r="H68"/>
      <c r="M68" t="s">
        <v>143</v>
      </c>
      <c r="N68">
        <f>COUNTIF($N$2:$N$51,"*system*")</f>
        <v>50</v>
      </c>
      <c r="V68" s="5" t="s">
        <v>352</v>
      </c>
      <c r="W68">
        <f>COUNTIF($W$2:$W$51,"*manipulation*")</f>
        <v>2</v>
      </c>
      <c r="Y68" s="5" t="s">
        <v>370</v>
      </c>
      <c r="Z68">
        <f>COUNTIF($X$2:$X$51,"*SGX*")</f>
        <v>2</v>
      </c>
      <c r="AB68" t="s">
        <v>217</v>
      </c>
      <c r="AC68">
        <f>COUNTIF($AA$2:$AA$51,"product-based")</f>
        <v>17</v>
      </c>
    </row>
    <row r="69" spans="1:42" s="5" customFormat="1" x14ac:dyDescent="0.25">
      <c r="G69" t="s">
        <v>131</v>
      </c>
      <c r="H69">
        <f>COUNTIF($J$2:$J$51,"-")</f>
        <v>18</v>
      </c>
      <c r="M69" t="s">
        <v>163</v>
      </c>
      <c r="N69">
        <f>COUNTIF($N$2:$N$51,"*system, user*")</f>
        <v>40</v>
      </c>
      <c r="V69" s="5" t="s">
        <v>353</v>
      </c>
      <c r="W69">
        <f>COUNTIF($W$2:$W$51,"*theft*")</f>
        <v>2</v>
      </c>
      <c r="Y69" s="5" t="s">
        <v>372</v>
      </c>
      <c r="Z69">
        <f>COUNTIF($X$2:$X$51,"*AES*")</f>
        <v>1</v>
      </c>
      <c r="AB69" t="s">
        <v>255</v>
      </c>
      <c r="AC69">
        <f>COUNTIF($AA$2:$AA$51,"family-based")</f>
        <v>1</v>
      </c>
    </row>
    <row r="70" spans="1:42" s="5" customFormat="1" x14ac:dyDescent="0.25">
      <c r="G70" t="s">
        <v>133</v>
      </c>
      <c r="H70">
        <f>COUNTIF($J$2:$J$51,"+")</f>
        <v>4</v>
      </c>
      <c r="M70" t="s">
        <v>344</v>
      </c>
      <c r="N70">
        <f>COUNTIF($N$2:$N$51,"*user*")</f>
        <v>41</v>
      </c>
      <c r="V70" s="5" t="s">
        <v>354</v>
      </c>
      <c r="W70">
        <f>COUNTIF($W$2:$W$51,"*malware*")</f>
        <v>1</v>
      </c>
      <c r="AB70" t="s">
        <v>256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349</v>
      </c>
      <c r="N71">
        <v>13</v>
      </c>
      <c r="V71" s="5" t="s">
        <v>355</v>
      </c>
      <c r="W71">
        <f>COUNTIF($W$2:$W$51,"*bugs*")</f>
        <v>2</v>
      </c>
      <c r="Y71" s="1" t="s">
        <v>394</v>
      </c>
      <c r="AB71" t="s">
        <v>135</v>
      </c>
      <c r="AC71">
        <f>COUNTIF($AA$2:$AA$51,"-")</f>
        <v>25</v>
      </c>
    </row>
    <row r="72" spans="1:42" s="5" customFormat="1" x14ac:dyDescent="0.25">
      <c r="V72" s="5" t="s">
        <v>356</v>
      </c>
      <c r="W72">
        <f>COUNTIF($W$2:$W$51,"*maintenance*")</f>
        <v>1</v>
      </c>
      <c r="Y72" t="s">
        <v>145</v>
      </c>
      <c r="Z72">
        <f>COUNTIF($Y$2:$Y$51,"software")</f>
        <v>31</v>
      </c>
      <c r="AB72" t="s">
        <v>349</v>
      </c>
      <c r="AC72">
        <v>18</v>
      </c>
    </row>
    <row r="73" spans="1:42" s="5" customFormat="1" x14ac:dyDescent="0.25">
      <c r="M73" s="1" t="s">
        <v>64</v>
      </c>
      <c r="N73"/>
      <c r="V73" s="5" t="s">
        <v>359</v>
      </c>
      <c r="W73">
        <f>COUNTIF($W$2:$W$51,"*vulner*")</f>
        <v>2</v>
      </c>
      <c r="Y73" t="s">
        <v>158</v>
      </c>
      <c r="Z73">
        <f>COUNTIF($Y$2:$Y$51,"storage")</f>
        <v>8</v>
      </c>
    </row>
    <row r="74" spans="1:42" s="5" customFormat="1" x14ac:dyDescent="0.25">
      <c r="M74" t="s">
        <v>345</v>
      </c>
      <c r="N74">
        <v>6</v>
      </c>
      <c r="V74" s="5" t="s">
        <v>360</v>
      </c>
      <c r="W74">
        <f>COUNTIF($W$2:$W$51,"*trust*")</f>
        <v>4</v>
      </c>
      <c r="Y74" t="s">
        <v>138</v>
      </c>
      <c r="Z74">
        <f>COUNTIF($Y$2:$Y$51,"software, storage")</f>
        <v>11</v>
      </c>
    </row>
    <row r="75" spans="1:42" s="5" customFormat="1" x14ac:dyDescent="0.25">
      <c r="M75" t="s">
        <v>346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122</v>
      </c>
      <c r="AK78" s="5"/>
      <c r="AL78" s="5"/>
      <c r="AM78" s="5"/>
      <c r="AN78" s="5"/>
      <c r="AO78" s="5"/>
      <c r="AP78" s="5"/>
    </row>
    <row r="79" spans="1:42" x14ac:dyDescent="0.25">
      <c r="A79" t="s">
        <v>121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135</v>
      </c>
      <c r="C81" t="s">
        <v>131</v>
      </c>
    </row>
    <row r="82" spans="1:39" x14ac:dyDescent="0.25">
      <c r="A82" t="s">
        <v>132</v>
      </c>
      <c r="C82" t="s">
        <v>133</v>
      </c>
    </row>
    <row r="83" spans="1:39" x14ac:dyDescent="0.25">
      <c r="A83" t="s">
        <v>134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131</v>
      </c>
      <c r="O84" s="2"/>
      <c r="P84" s="2"/>
      <c r="Q84" s="2"/>
      <c r="R84" s="2"/>
      <c r="S84" s="2"/>
      <c r="T84" s="2"/>
      <c r="U84" s="2" t="s">
        <v>247</v>
      </c>
      <c r="V84" s="2" t="s">
        <v>131</v>
      </c>
      <c r="W84" s="2" t="s">
        <v>131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223</v>
      </c>
      <c r="K85" s="2" t="s">
        <v>136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211</v>
      </c>
      <c r="F88" s="2"/>
      <c r="G88" s="2"/>
      <c r="H88" s="2"/>
      <c r="I88" s="2"/>
      <c r="J88" s="2"/>
      <c r="K88" s="2"/>
      <c r="L88" s="2"/>
      <c r="M88" s="2"/>
      <c r="N88" s="2" t="s">
        <v>131</v>
      </c>
      <c r="O88" s="2" t="s">
        <v>131</v>
      </c>
      <c r="P88" s="2" t="s">
        <v>131</v>
      </c>
      <c r="Q88" s="2" t="s">
        <v>133</v>
      </c>
      <c r="R88" s="2" t="s">
        <v>133</v>
      </c>
      <c r="S88" s="2" t="s">
        <v>131</v>
      </c>
      <c r="T88" s="2" t="s">
        <v>131</v>
      </c>
      <c r="U88" s="2" t="s">
        <v>131</v>
      </c>
      <c r="V88" s="2" t="s">
        <v>213</v>
      </c>
      <c r="W88" s="2" t="s">
        <v>214</v>
      </c>
      <c r="X88" s="2" t="s">
        <v>145</v>
      </c>
      <c r="Y88" s="2" t="s">
        <v>165</v>
      </c>
      <c r="Z88" s="2" t="s">
        <v>131</v>
      </c>
      <c r="AA88" s="2" t="s">
        <v>131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130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139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2022-04-14T10:24:04Z</dcterms:modified>
</cp:coreProperties>
</file>